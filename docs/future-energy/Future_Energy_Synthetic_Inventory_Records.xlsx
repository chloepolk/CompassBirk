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0a983bbee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6f91b370da4534"/>
    <x:sheet xmlns:r="http://schemas.openxmlformats.org/officeDocument/2006/relationships" name="Requirements" sheetId="2" r:id="R6d1b5d8d4ea042ec"/>
    <x:sheet xmlns:r="http://schemas.openxmlformats.org/officeDocument/2006/relationships" name="Material Master" sheetId="3" r:id="Rdfd647846c534af3"/>
    <x:sheet xmlns:r="http://schemas.openxmlformats.org/officeDocument/2006/relationships" name="Inventory Balances" sheetId="4" r:id="R606455c22f7c4e28"/>
    <x:sheet xmlns:r="http://schemas.openxmlformats.org/officeDocument/2006/relationships" name="Reservations" sheetId="5" r:id="Rb6731b37501a4e76"/>
    <x:sheet xmlns:r="http://schemas.openxmlformats.org/officeDocument/2006/relationships" name="Expected Receipts" sheetId="6" r:id="R94fcabd0fff54077"/>
    <x:sheet xmlns:r="http://schemas.openxmlformats.org/officeDocument/2006/relationships" name="Quality Records" sheetId="7" r:id="R7a30092539334c76"/>
    <x:sheet xmlns:r="http://schemas.openxmlformats.org/officeDocument/2006/relationships" name="Candidate Matches" sheetId="8" r:id="R345b169398bf4d81"/>
    <x:sheet xmlns:r="http://schemas.openxmlformats.org/officeDocument/2006/relationships" name="Validation Summary" sheetId="9" r:id="R5ed63b78a83f41f4"/>
    <x:sheet xmlns:r="http://schemas.openxmlformats.org/officeDocument/2006/relationships" name="Action Centre" sheetId="10" r:id="R32be8d12a3a243e2"/>
    <x:sheet xmlns:r="http://schemas.openxmlformats.org/officeDocument/2006/relationships" name="Audit Events" sheetId="11" r:id="Raf487f98a600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"/>
    <x:numFmt numFmtId="202" formatCode="€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243B53"/>
      <x:name val="Aptos"/>
    </x:font>
    <x:font>
      <x:sz val="10"/>
      <x:color rgb="FF243B53"/>
      <x:name val="Aptos"/>
    </x:font>
    <x:font>
      <x:i/>
      <x:sz val="10"/>
      <x:color rgb="FF243B5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9F5F6"/>
      </x:patternFill>
    </x:fill>
    <x:fill>
      <x:patternFill patternType="solid">
        <x:fgColor rgb="FF00A6B2"/>
      </x:patternFill>
    </x:fill>
  </x:fills>
  <x:borders count="9">
    <x:border/>
    <x:border>
      <x:right style="thin">
        <x:color rgb="FFB7DDE1"/>
      </x:right>
    </x:border>
    <x:border>
      <x:left style="thin">
        <x:color rgb="FFB7DDE1"/>
      </x:left>
    </x:border>
    <x:border>
      <x:right style="thin">
        <x:color rgb="FFB7DDE1"/>
      </x:right>
      <x:bottom style="thin">
        <x:color rgb="FFDCE3E8"/>
      </x:bottom>
    </x:border>
    <x:border>
      <x:left style="thin">
        <x:color rgb="FFB7DDE1"/>
      </x:left>
      <x:bottom style="thin">
        <x:color rgb="FFDCE3E8"/>
      </x:bottom>
    </x:border>
    <x:border>
      <x:top style="thin">
        <x:color rgb="FFDCE3E8"/>
      </x:top>
      <x:bottom style="thin">
        <x:color rgb="FFDCE3E8"/>
      </x:bottom>
    </x:border>
    <x:border>
      <x:top style="thin">
        <x:color rgb="FFDCE3E8"/>
      </x:top>
    </x:border>
    <x:border>
      <x:left style="thin">
        <x:color rgb="FFB7DDE1"/>
      </x:left>
      <x:right style="thin">
        <x:color rgb="FFB7DDE1"/>
      </x:right>
    </x:border>
    <x:border>
      <x:left style="thin">
        <x:color rgb="FFB7DDE1"/>
      </x:left>
      <x:right style="thin">
        <x:color rgb="FFB7DDE1"/>
      </x:right>
      <x:bottom style="thin">
        <x:color rgb="FFDCE3E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top"/>
    </x:xf>
    <x:xf numFmtId="200" fontId="3" fillId="0" borderId="6" xfId="0" applyNumberFormat="1" applyFont="1" applyFill="1" applyBorder="1" applyAlignment="1">
      <x:alignment vertical="top"/>
    </x:xf>
    <x:xf numFmtId="201" fontId="3" fillId="0" borderId="5" xfId="0" applyNumberFormat="1" applyFont="1" applyFill="1" applyBorder="1" applyAlignment="1">
      <x:alignment vertical="top"/>
    </x:xf>
    <x:xf numFmtId="201" fontId="3" fillId="0" borderId="6" xfId="0" applyNumberFormat="1" applyFont="1" applyFill="1" applyBorder="1" applyAlignment="1">
      <x:alignment vertical="top"/>
    </x:xf>
    <x:xf numFmtId="202" fontId="3" fillId="0" borderId="5" xfId="0" applyNumberFormat="1" applyFont="1" applyFill="1" applyBorder="1" applyAlignment="1">
      <x:alignment vertical="top"/>
    </x:xf>
    <x:xf numFmtId="202" fontId="3" fillId="0" borderId="6" xfId="0" applyNumberFormat="1" applyFont="1" applyFill="1" applyBorder="1" applyAlignment="1">
      <x:alignment vertical="top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0392B"/>
      </x:font>
      <x:fill>
        <x:patternFill patternType="solid">
          <x:bgColor rgb="FFFDECEA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38A72"/>
      </x:font>
      <x:fill>
        <x:patternFill patternType="solid">
          <x:bgColor rgb="FFE7F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74d6c15674d1b" /><Relationship Type="http://schemas.openxmlformats.org/officeDocument/2006/relationships/theme" Target="/xl/theme/theme1.xml" Id="R93d6e292b1cf4ef7" /><Relationship Type="http://schemas.openxmlformats.org/officeDocument/2006/relationships/sharedStrings" Target="/xl/sharedStrings.xml" Id="R36fbfc82ea204271" /><Relationship Type="http://schemas.openxmlformats.org/officeDocument/2006/relationships/worksheet" Target="/xl/worksheets/sheet1.xml" Id="R0e6f91b370da4534" /><Relationship Type="http://schemas.openxmlformats.org/officeDocument/2006/relationships/worksheet" Target="/xl/worksheets/sheet2.xml" Id="R6d1b5d8d4ea042ec" /><Relationship Type="http://schemas.openxmlformats.org/officeDocument/2006/relationships/worksheet" Target="/xl/worksheets/sheet3.xml" Id="Rdfd647846c534af3" /><Relationship Type="http://schemas.openxmlformats.org/officeDocument/2006/relationships/worksheet" Target="/xl/worksheets/sheet4.xml" Id="R606455c22f7c4e28" /><Relationship Type="http://schemas.openxmlformats.org/officeDocument/2006/relationships/worksheet" Target="/xl/worksheets/sheet5.xml" Id="Rb6731b37501a4e76" /><Relationship Type="http://schemas.openxmlformats.org/officeDocument/2006/relationships/worksheet" Target="/xl/worksheets/sheet6.xml" Id="R94fcabd0fff54077" /><Relationship Type="http://schemas.openxmlformats.org/officeDocument/2006/relationships/worksheet" Target="/xl/worksheets/sheet7.xml" Id="R7a30092539334c76" /><Relationship Type="http://schemas.openxmlformats.org/officeDocument/2006/relationships/worksheet" Target="/xl/worksheets/sheet8.xml" Id="R345b169398bf4d81" /><Relationship Type="http://schemas.openxmlformats.org/officeDocument/2006/relationships/worksheet" Target="/xl/worksheets/sheet9.xml" Id="R5ed63b78a83f41f4" /><Relationship Type="http://schemas.openxmlformats.org/officeDocument/2006/relationships/worksheet" Target="/xl/worksheets/sheet10.xml" Id="R32be8d12a3a243e2" /><Relationship Type="http://schemas.openxmlformats.org/officeDocument/2006/relationships/worksheet" Target="/xl/worksheets/sheet11.xml" Id="Raf487f98a6004e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3" t="str">
        <x:v>Future Energy - Synthetic Procurement Inventory Dataset</x:v>
      </x:c>
    </x:row>
    <x:row r="2" ht="28" customHeight="1">
      <x:c r="A2" s="7" t="str">
        <x:v>Prototype data supporting Procurement Demand Validation before ITT issue and award approval</x:v>
      </x:c>
    </x:row>
    <x:row r="4" ht="32" customHeight="1">
      <x:c r="A4" s="18" t="str">
        <x:v>Dataset scope</x:v>
      </x:c>
      <x:c r="B4" s="19" t="str">
        <x:v>Contents</x:v>
      </x:c>
    </x:row>
    <x:row r="5" ht="46" customHeight="1">
      <x:c r="A5" s="22" t="str">
        <x:v>Purpose</x:v>
      </x:c>
      <x:c r="B5" s="22" t="str">
        <x:v>Simulated records for five offshore-wind procurement requirements. The data is designed to exercise exact matches, partial availability, potential substitutes, reservations, readiness/quality holds, unsuitable stock, expected receipts, Action Centre tasks, and audit history.</x:v>
      </x:c>
    </x:row>
    <x:row r="6" ht="46" customHeight="1">
      <x:c r="A6" s="22" t="str">
        <x:v>Governing requirements</x:v>
      </x:c>
      <x:c r="B6" s="22" t="str">
        <x:v>Future Energy_Procurement_Demand_Validation_Requirements.docx.pdf, dated 25 August 2026.</x:v>
      </x:c>
    </x:row>
    <x:row r="7" ht="46" customHeight="1">
      <x:c r="A7" s="22" t="str">
        <x:v>Technical sources</x:v>
      </x:c>
      <x:c r="B7" s="22" t="str">
        <x:v>TS-CBL-66KV-001; TS-STR-TP-002; TS-HL-CB-003; TS-CP-SACP-004; TS-SUB-JTS-005.</x:v>
      </x:c>
    </x:row>
    <x:row r="8" ht="46" customHeight="1">
      <x:c r="A8" s="22" t="str">
        <x:v>Synthetic-data notice</x:v>
      </x:c>
      <x:c r="B8" s="22" t="str">
        <x:v>All companies, projects, quantities, locations, costs, inventory states, certifications and decisions in this workbook are simulated for prototype demonstration.</x:v>
      </x:c>
    </x:row>
    <x:row r="9" ht="46" customHeight="1">
      <x:c r="A9" s="22" t="str">
        <x:v>Financial terminology</x:v>
      </x:c>
      <x:c r="B9" s="22" t="str">
        <x:v>Values are Identified purchase-avoidance opportunities until inventory use is approved. They are not realized savings.</x:v>
      </x:c>
    </x:row>
    <x:row r="10" ht="46" customHeight="1">
      <x:c r="A10" s="22" t="str">
        <x:v>Core quantity rule</x:v>
      </x:c>
      <x:c r="B10" s="22" t="str">
        <x:v>Residual procurement quantity = requested quantity - approved quantity from existing inventory, floored at zero.</x:v>
      </x:c>
    </x:row>
    <x:row r="11" ht="46" customHeight="1">
      <x:c r="A11" s="22" t="str">
        <x:v>Control rule</x:v>
      </x:c>
      <x:c r="B11" s="22" t="str">
        <x:v>ITT issue and award submission are blocked when a validation check is expired or a plausible candidate remains unresolved.</x:v>
      </x:c>
    </x:row>
    <x:row r="12" ht="46" customHeight="1">
      <x:c r="A12" s="23" t="str">
        <x:v>Recommended import order</x:v>
      </x:c>
      <x:c r="B12" s="23" t="str">
        <x:v>Material Master; Requirements; Inventory Balances; Reservations; Expected Receipts; Quality Records; Candidate Matches; Action Centre; Audit Events.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5" hidden="0" customWidth="1"/>
    <x:col min="4" max="4" width="23" hidden="0" customWidth="1"/>
    <x:col min="5" max="5" width="48" hidden="0" customWidth="1"/>
    <x:col min="6" max="6" width="9" hidden="0" customWidth="1"/>
    <x:col min="7" max="7" width="13" hidden="0" customWidth="1"/>
    <x:col min="8" max="8" width="16" hidden="0" customWidth="1"/>
    <x:col min="9" max="9" width="20" hidden="0" customWidth="1"/>
    <x:col min="10" max="10" width="25" hidden="0" customWidth="1"/>
    <x:col min="11" max="11" width="10" hidden="0" customWidth="1"/>
    <x:col min="12" max="12" width="20" hidden="0" customWidth="1"/>
    <x:col min="13" max="13" width="12" hidden="0" customWidth="1"/>
    <x:col min="14" max="14" width="23" hidden="0" customWidth="1"/>
  </x:cols>
  <x:sheetData>
    <x:row r="1" ht="30" customHeight="1">
      <x:c r="A1" s="36" t="str">
        <x:v>Procurement Requirements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 ht="28" customHeight="1">
      <x:c r="A2" s="38" t="str">
        <x:v>Five simulated demand records linked to the supplied technical specifications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 ht="32" customHeight="1">
      <x:c r="A4" s="39" t="str">
        <x:v>Requirement ID</x:v>
      </x:c>
      <x:c r="B4" s="40" t="str">
        <x:v>Package Reference</x:v>
      </x:c>
      <x:c r="C4" s="40" t="str">
        <x:v>Project</x:v>
      </x:c>
      <x:c r="D4" s="40" t="str">
        <x:v>Requested Material</x:v>
      </x:c>
      <x:c r="E4" s="40" t="str">
        <x:v>Description</x:v>
      </x:c>
      <x:c r="F4" s="40" t="str">
        <x:v>UOM</x:v>
      </x:c>
      <x:c r="G4" s="40" t="str">
        <x:v>Requested Qty</x:v>
      </x:c>
      <x:c r="H4" s="40" t="str">
        <x:v>Required at Site</x:v>
      </x:c>
      <x:c r="I4" s="40" t="str">
        <x:v>Specification Ref</x:v>
      </x:c>
      <x:c r="J4" s="40" t="str">
        <x:v>Delivery Location</x:v>
      </x:c>
      <x:c r="K4" s="40" t="str">
        <x:v>Currency</x:v>
      </x:c>
      <x:c r="L4" s="40" t="str">
        <x:v>New Purchase Unit Baseline</x:v>
      </x:c>
      <x:c r="M4" s="40" t="str">
        <x:v>Status</x:v>
      </x:c>
      <x:c r="N4" s="41" t="str">
        <x:v>Search Timestamp</x:v>
      </x:c>
    </x:row>
    <x:row r="5">
      <x:c r="A5" s="42" t="str">
        <x:v>REQ-MER-2101</x:v>
      </x:c>
      <x:c r="B5" s="42" t="str">
        <x:v>MER-SCM-2101</x:v>
      </x:c>
      <x:c r="C5" s="42" t="str">
        <x:v>Meridian Offshore Wind Farm</x:v>
      </x:c>
      <x:c r="D5" s="42" t="str">
        <x:v>MAT-CBL-66KV-CU630</x:v>
      </x:c>
      <x:c r="E5" s="43" t="str">
        <x:v>66kV subsea array cable, 630 mm2 copper, 48-core SM fibre</x:v>
      </x:c>
      <x:c r="F5" s="42" t="str">
        <x:v>m</x:v>
      </x:c>
      <x:c r="G5" s="44" t="n">
        <x:v>5000</x:v>
      </x:c>
      <x:c r="H5" s="45" t="n">
        <x:v>46402</x:v>
      </x:c>
      <x:c r="I5" s="42" t="str">
        <x:v>TS-CBL-66KV-001</x:v>
      </x:c>
      <x:c r="J5" s="42" t="str">
        <x:v>Rotterdam marshalling yard</x:v>
      </x:c>
      <x:c r="K5" s="42" t="str">
        <x:v>EUR</x:v>
      </x:c>
      <x:c r="L5" s="46" t="n">
        <x:v>560</x:v>
      </x:c>
      <x:c r="M5" s="42" t="str">
        <x:v>Open</x:v>
      </x:c>
      <x:c r="N5" s="42" t="str">
        <x:v>2026-08-25 09:00 UTC</x:v>
      </x:c>
    </x:row>
    <x:row r="6">
      <x:c r="A6" s="42" t="str">
        <x:v>REQ-MER-2102</x:v>
      </x:c>
      <x:c r="B6" s="42" t="str">
        <x:v>MER-SCM-2102</x:v>
      </x:c>
      <x:c r="C6" s="42" t="str">
        <x:v>Meridian Offshore Wind Farm</x:v>
      </x:c>
      <x:c r="D6" s="42" t="str">
        <x:v>MAT-TP-S355-7000</x:v>
      </x:c>
      <x:c r="E6" s="43" t="str">
        <x:v>Monopile transition piece, S355G10+M, project geometry</x:v>
      </x:c>
      <x:c r="F6" s="42" t="str">
        <x:v>unit</x:v>
      </x:c>
      <x:c r="G6" s="44" t="n">
        <x:v>50</x:v>
      </x:c>
      <x:c r="H6" s="45" t="n">
        <x:v>46507</x:v>
      </x:c>
      <x:c r="I6" s="42" t="str">
        <x:v>TS-STR-TP-002</x:v>
      </x:c>
      <x:c r="J6" s="42" t="str">
        <x:v>Eemshaven load-out quay</x:v>
      </x:c>
      <x:c r="K6" s="42" t="str">
        <x:v>EUR</x:v>
      </x:c>
      <x:c r="L6" s="46" t="n">
        <x:v>4750000</x:v>
      </x:c>
      <x:c r="M6" s="42" t="str">
        <x:v>Open</x:v>
      </x:c>
      <x:c r="N6" s="42" t="str">
        <x:v>2026-08-25 09:01 UTC</x:v>
      </x:c>
    </x:row>
    <x:row r="7">
      <x:c r="A7" s="42" t="str">
        <x:v>REQ-MER-2103</x:v>
      </x:c>
      <x:c r="B7" s="42" t="str">
        <x:v>MER-SCM-2103</x:v>
      </x:c>
      <x:c r="C7" s="42" t="str">
        <x:v>Meridian Offshore Wind Farm</x:v>
      </x:c>
      <x:c r="D7" s="42" t="str">
        <x:v>MAT-HB-3000T-14S</x:v>
      </x:c>
      <x:c r="E7" s="43" t="str">
        <x:v>3000T heavy-lift crane hook block, 14 sheaves</x:v>
      </x:c>
      <x:c r="F7" s="42" t="str">
        <x:v>unit</x:v>
      </x:c>
      <x:c r="G7" s="44" t="n">
        <x:v>1</x:v>
      </x:c>
      <x:c r="H7" s="45" t="n">
        <x:v>46356</x:v>
      </x:c>
      <x:c r="I7" s="42" t="str">
        <x:v>TS-HL-CB-003</x:v>
      </x:c>
      <x:c r="J7" s="42" t="str">
        <x:v>Rotterdam heavy-lift base</x:v>
      </x:c>
      <x:c r="K7" s="42" t="str">
        <x:v>EUR</x:v>
      </x:c>
      <x:c r="L7" s="46" t="n">
        <x:v>4200000</x:v>
      </x:c>
      <x:c r="M7" s="42" t="str">
        <x:v>Open</x:v>
      </x:c>
      <x:c r="N7" s="42" t="str">
        <x:v>2026-08-25 09:02 UTC</x:v>
      </x:c>
    </x:row>
    <x:row r="8">
      <x:c r="A8" s="42" t="str">
        <x:v>REQ-MER-2104</x:v>
      </x:c>
      <x:c r="B8" s="42" t="str">
        <x:v>MER-SCM-2104</x:v>
      </x:c>
      <x:c r="C8" s="42" t="str">
        <x:v>Meridian Offshore Wind Farm</x:v>
      </x:c>
      <x:c r="D8" s="42" t="str">
        <x:v>MAT-AN-ALZNIN-225</x:v>
      </x:c>
      <x:c r="E8" s="43" t="str">
        <x:v>Al-Zn-In sacrificial anode half-bracelet, 225 kg</x:v>
      </x:c>
      <x:c r="F8" s="42" t="str">
        <x:v>unit</x:v>
      </x:c>
      <x:c r="G8" s="44" t="n">
        <x:v>240</x:v>
      </x:c>
      <x:c r="H8" s="45" t="n">
        <x:v>46446</x:v>
      </x:c>
      <x:c r="I8" s="42" t="str">
        <x:v>TS-CP-SACP-004</x:v>
      </x:c>
      <x:c r="J8" s="42" t="str">
        <x:v>Vlissingen fabrication yard</x:v>
      </x:c>
      <x:c r="K8" s="42" t="str">
        <x:v>EUR</x:v>
      </x:c>
      <x:c r="L8" s="46" t="n">
        <x:v>2100</x:v>
      </x:c>
      <x:c r="M8" s="42" t="str">
        <x:v>Open</x:v>
      </x:c>
      <x:c r="N8" s="42" t="str">
        <x:v>2026-08-25 09:03 UTC</x:v>
      </x:c>
    </x:row>
    <x:row r="9">
      <x:c r="A9" s="47" t="str">
        <x:v>REQ-MER-2105</x:v>
      </x:c>
      <x:c r="B9" s="47" t="str">
        <x:v>MER-SCM-2105</x:v>
      </x:c>
      <x:c r="C9" s="47" t="str">
        <x:v>Meridian Offshore Wind Farm</x:v>
      </x:c>
      <x:c r="D9" s="47" t="str">
        <x:v>MAT-JTS-150-375</x:v>
      </x:c>
      <x:c r="E9" s="48" t="str">
        <x:v>Subsea J-tube seal, cable OD 150 mm / tube ID 375 mm</x:v>
      </x:c>
      <x:c r="F9" s="47" t="str">
        <x:v>unit</x:v>
      </x:c>
      <x:c r="G9" s="49" t="n">
        <x:v>60</x:v>
      </x:c>
      <x:c r="H9" s="50" t="n">
        <x:v>46433</x:v>
      </x:c>
      <x:c r="I9" s="47" t="str">
        <x:v>TS-SUB-JTS-005</x:v>
      </x:c>
      <x:c r="J9" s="47" t="str">
        <x:v>Rotterdam marshalling yard</x:v>
      </x:c>
      <x:c r="K9" s="47" t="str">
        <x:v>EUR</x:v>
      </x:c>
      <x:c r="L9" s="51" t="n">
        <x:v>88000</x:v>
      </x:c>
      <x:c r="M9" s="47" t="str">
        <x:v>Open</x:v>
      </x:c>
      <x:c r="N9" s="47" t="str">
        <x:v>2026-08-25 09:04 UTC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5" hidden="0" customWidth="1"/>
    <x:col min="4" max="4" width="22" hidden="0" customWidth="1"/>
    <x:col min="5" max="5" width="16" hidden="0" customWidth="1"/>
    <x:col min="6" max="6" width="22" hidden="0" customWidth="1"/>
    <x:col min="7" max="7" width="24" hidden="0" customWidth="1"/>
    <x:col min="8" max="8" width="20" hidden="0" customWidth="1"/>
    <x:col min="9" max="9" width="20" hidden="0" customWidth="1"/>
    <x:col min="10" max="10" width="90" hidden="0" customWidth="1"/>
    <x:col min="11" max="11" width="10" hidden="0" customWidth="1"/>
  </x:cols>
  <x:sheetData>
    <x:row r="1" ht="30" customHeight="1">
      <x:c r="A1" s="36" t="str">
        <x:v>Material Master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8" t="str">
        <x:v>Identity, supersession and specification attributes used in candidate matching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2" customHeight="1">
      <x:c r="A4" s="39" t="str">
        <x:v>Material Number</x:v>
      </x:c>
      <x:c r="B4" s="40" t="str">
        <x:v>Description</x:v>
      </x:c>
      <x:c r="C4" s="40" t="str">
        <x:v>Manufacturer</x:v>
      </x:c>
      <x:c r="D4" s="40" t="str">
        <x:v>Model</x:v>
      </x:c>
      <x:c r="E4" s="40" t="str">
        <x:v>Lifecycle Status</x:v>
      </x:c>
      <x:c r="F4" s="40" t="str">
        <x:v>Superseded Number</x:v>
      </x:c>
      <x:c r="G4" s="40" t="str">
        <x:v>Approved Equivalent To</x:v>
      </x:c>
      <x:c r="H4" s="40" t="str">
        <x:v>Equivalent Status</x:v>
      </x:c>
      <x:c r="I4" s="40" t="str">
        <x:v>Specification Ref</x:v>
      </x:c>
      <x:c r="J4" s="40" t="str">
        <x:v>Technical Attributes</x:v>
      </x:c>
      <x:c r="K4" s="41" t="str">
        <x:v>UOM</x:v>
      </x:c>
    </x:row>
    <x:row r="5">
      <x:c r="A5" s="42" t="str">
        <x:v>MAT-CBL-66KV-CU630</x:v>
      </x:c>
      <x:c r="B5" s="43" t="str">
        <x:v>66kV subsea array cable - Cu 630 mm2</x:v>
      </x:c>
      <x:c r="C5" s="43" t="str">
        <x:v>NordCable Marine</x:v>
      </x:c>
      <x:c r="D5" s="43" t="str">
        <x:v>NCM-66-CU630-48</x:v>
      </x:c>
      <x:c r="E5" s="43" t="str">
        <x:v>Active</x:v>
      </x:c>
      <x:c r="F5" s="43" t="str"/>
      <x:c r="G5" s="43" t="str"/>
      <x:c r="H5" s="43" t="str">
        <x:v>Approved</x:v>
      </x:c>
      <x:c r="I5" s="43" t="str">
        <x:v>TS-CBL-66KV-001</x:v>
      </x:c>
      <x:c r="J5" s="43" t="str">
        <x:v>36/66 kV; Um 72.5 kV; copper water-blocked; 630 mm2; XLPE; galvanized single-wire armor; 48-core SM; dynamic bend radius 3.5m; 25-year life</x:v>
      </x:c>
      <x:c r="K5" s="42" t="str">
        <x:v>m</x:v>
      </x:c>
    </x:row>
    <x:row r="6">
      <x:c r="A6" s="42" t="str">
        <x:v>MAT-CBL-66KV-AL630</x:v>
      </x:c>
      <x:c r="B6" s="43" t="str">
        <x:v>66kV subsea array cable - Al 630 mm2</x:v>
      </x:c>
      <x:c r="C6" s="43" t="str">
        <x:v>NordCable Marine</x:v>
      </x:c>
      <x:c r="D6" s="43" t="str">
        <x:v>NCM-66-AL630-48</x:v>
      </x:c>
      <x:c r="E6" s="43" t="str">
        <x:v>Active</x:v>
      </x:c>
      <x:c r="F6" s="43" t="str"/>
      <x:c r="G6" s="43" t="str">
        <x:v>MAT-CBL-66KV-CU630</x:v>
      </x:c>
      <x:c r="H6" s="43" t="str">
        <x:v>Validation required</x:v>
      </x:c>
      <x:c r="I6" s="43" t="str">
        <x:v>TS-CBL-66KV-001</x:v>
      </x:c>
      <x:c r="J6" s="43" t="str">
        <x:v>36/66 kV; Um 72.5 kV; aluminum water-blocked; 630 mm2; XLPE; 48-core SM; 25-year life</x:v>
      </x:c>
      <x:c r="K6" s="42" t="str">
        <x:v>m</x:v>
      </x:c>
    </x:row>
    <x:row r="7">
      <x:c r="A7" s="42" t="str">
        <x:v>MAT-CBL-33KV-CU630</x:v>
      </x:c>
      <x:c r="B7" s="43" t="str">
        <x:v>33kV subsea array cable - Cu 630 mm2</x:v>
      </x:c>
      <x:c r="C7" s="43" t="str">
        <x:v>Atlantic Cable Works</x:v>
      </x:c>
      <x:c r="D7" s="43" t="str">
        <x:v>ACW-33-CU630</x:v>
      </x:c>
      <x:c r="E7" s="43" t="str">
        <x:v>Active</x:v>
      </x:c>
      <x:c r="F7" s="43" t="str"/>
      <x:c r="G7" s="43" t="str"/>
      <x:c r="H7" s="43" t="str">
        <x:v>Not approved</x:v>
      </x:c>
      <x:c r="I7" s="43" t="str">
        <x:v>TS-CBL-66KV-001</x:v>
      </x:c>
      <x:c r="J7" s="43" t="str">
        <x:v>18/33 kV; copper; 630 mm2; 24-core SM</x:v>
      </x:c>
      <x:c r="K7" s="42" t="str">
        <x:v>m</x:v>
      </x:c>
    </x:row>
    <x:row r="8">
      <x:c r="A8" s="42" t="str">
        <x:v>MAT-TP-S355-7000</x:v>
      </x:c>
      <x:c r="B8" s="43" t="str">
        <x:v>Monopile transition piece - Meridian geometry</x:v>
      </x:c>
      <x:c r="C8" s="43" t="str">
        <x:v>NorthSea Fabrication</x:v>
      </x:c>
      <x:c r="D8" s="43" t="str">
        <x:v>NSF-TP-MER-01</x:v>
      </x:c>
      <x:c r="E8" s="43" t="str">
        <x:v>Active</x:v>
      </x:c>
      <x:c r="F8" s="43" t="str"/>
      <x:c r="G8" s="43" t="str"/>
      <x:c r="H8" s="43" t="str">
        <x:v>Approved</x:v>
      </x:c>
      <x:c r="I8" s="43" t="str">
        <x:v>TS-STR-TP-002</x:v>
      </x:c>
      <x:c r="J8" s="43" t="str">
        <x:v>S355G10+M; 6.5m/4.5m OD; 23m; 420t; NORSOK M-501 System 7; DNV-ST-0126</x:v>
      </x:c>
      <x:c r="K8" s="42" t="str">
        <x:v>unit</x:v>
      </x:c>
    </x:row>
    <x:row r="9">
      <x:c r="A9" s="42" t="str">
        <x:v>MAT-TP-S460-6900</x:v>
      </x:c>
      <x:c r="B9" s="43" t="str">
        <x:v>Monopile transition piece - alternate geometry</x:v>
      </x:c>
      <x:c r="C9" s="43" t="str">
        <x:v>Baltic Steel Structures</x:v>
      </x:c>
      <x:c r="D9" s="43" t="str">
        <x:v>BSS-TP-6900</x:v>
      </x:c>
      <x:c r="E9" s="43" t="str">
        <x:v>Active</x:v>
      </x:c>
      <x:c r="F9" s="43" t="str"/>
      <x:c r="G9" s="43" t="str">
        <x:v>MAT-TP-S355-7000</x:v>
      </x:c>
      <x:c r="H9" s="43" t="str">
        <x:v>Validation required</x:v>
      </x:c>
      <x:c r="I9" s="43" t="str">
        <x:v>TS-STR-TP-002</x:v>
      </x:c>
      <x:c r="J9" s="43" t="str">
        <x:v>S460G2+M; 6.4m/4.5m OD; 22m; 405t; NORSOK M-501 System 7; DNV-ST-0126</x:v>
      </x:c>
      <x:c r="K9" s="42" t="str">
        <x:v>unit</x:v>
      </x:c>
    </x:row>
    <x:row r="10">
      <x:c r="A10" s="42" t="str">
        <x:v>MAT-HB-3000T-14S</x:v>
      </x:c>
      <x:c r="B10" s="43" t="str">
        <x:v>3000T hook block - 14 sheaves</x:v>
      </x:c>
      <x:c r="C10" s="43" t="str">
        <x:v>OceanLift Systems</x:v>
      </x:c>
      <x:c r="D10" s="43" t="str">
        <x:v>OLS-HB3000-14</x:v>
      </x:c>
      <x:c r="E10" s="43" t="str">
        <x:v>Active</x:v>
      </x:c>
      <x:c r="F10" s="43" t="str"/>
      <x:c r="G10" s="43" t="str"/>
      <x:c r="H10" s="43" t="str">
        <x:v>Approved</x:v>
      </x:c>
      <x:c r="I10" s="43" t="str">
        <x:v>TS-HL-CB-003</x:v>
      </x:c>
      <x:c r="J10" s="43" t="str">
        <x:v>SWL 3000t; test 3300t; ramshorn DIN 15402; 14 sheaves; 68mm rope; EN 10204 3.2; -20C/+45C; DNV-OS-H101/API 2C</x:v>
      </x:c>
      <x:c r="K10" s="42" t="str">
        <x:v>unit</x:v>
      </x:c>
    </x:row>
    <x:row r="11">
      <x:c r="A11" s="42" t="str">
        <x:v>MAT-HB-2500T-12S</x:v>
      </x:c>
      <x:c r="B11" s="43" t="str">
        <x:v>2500T hook block - 12 sheaves</x:v>
      </x:c>
      <x:c r="C11" s="43" t="str">
        <x:v>OceanLift Systems</x:v>
      </x:c>
      <x:c r="D11" s="43" t="str">
        <x:v>OLS-HB2500-12</x:v>
      </x:c>
      <x:c r="E11" s="43" t="str">
        <x:v>Active</x:v>
      </x:c>
      <x:c r="F11" s="43" t="str"/>
      <x:c r="G11" s="43" t="str"/>
      <x:c r="H11" s="43" t="str">
        <x:v>Not approved</x:v>
      </x:c>
      <x:c r="I11" s="43" t="str">
        <x:v>TS-HL-CB-003</x:v>
      </x:c>
      <x:c r="J11" s="43" t="str">
        <x:v>SWL 2500t; test 2750t; 12 sheaves; 64mm rope; EN 10204 3.2</x:v>
      </x:c>
      <x:c r="K11" s="42" t="str">
        <x:v>unit</x:v>
      </x:c>
    </x:row>
    <x:row r="12">
      <x:c r="A12" s="42" t="str">
        <x:v>MAT-AN-ALZNIN-225</x:v>
      </x:c>
      <x:c r="B12" s="43" t="str">
        <x:v>Al-Zn-In anode half-bracelet - 225 kg</x:v>
      </x:c>
      <x:c r="C12" s="43" t="str">
        <x:v>Cathodic Marine BV</x:v>
      </x:c>
      <x:c r="D12" s="43" t="str">
        <x:v>CM-AN225</x:v>
      </x:c>
      <x:c r="E12" s="43" t="str">
        <x:v>Active</x:v>
      </x:c>
      <x:c r="F12" s="43" t="str"/>
      <x:c r="G12" s="43" t="str"/>
      <x:c r="H12" s="43" t="str">
        <x:v>Approved</x:v>
      </x:c>
      <x:c r="I12" s="43" t="str">
        <x:v>TS-CP-SACP-004</x:v>
      </x:c>
      <x:c r="J12" s="43" t="str">
        <x:v>Al-Zn-In; 225kg; 2550 Ah/kg; -1.06V; utilization 0.80; carbon steel insert; DNV-RP-B401</x:v>
      </x:c>
      <x:c r="K12" s="42" t="str">
        <x:v>unit</x:v>
      </x:c>
    </x:row>
    <x:row r="13">
      <x:c r="A13" s="42" t="str">
        <x:v>MAT-AN-ALZNIN-200</x:v>
      </x:c>
      <x:c r="B13" s="43" t="str">
        <x:v>Al-Zn-In anode half-bracelet - 200 kg</x:v>
      </x:c>
      <x:c r="C13" s="43" t="str">
        <x:v>Cathodic Marine BV</x:v>
      </x:c>
      <x:c r="D13" s="43" t="str">
        <x:v>CM-AN200</x:v>
      </x:c>
      <x:c r="E13" s="43" t="str">
        <x:v>Active</x:v>
      </x:c>
      <x:c r="F13" s="43" t="str">
        <x:v>MAT-AN-ALZNIN-190</x:v>
      </x:c>
      <x:c r="G13" s="43" t="str">
        <x:v>MAT-AN-ALZNIN-225</x:v>
      </x:c>
      <x:c r="H13" s="43" t="str">
        <x:v>Validation required</x:v>
      </x:c>
      <x:c r="I13" s="43" t="str">
        <x:v>TS-CP-SACP-004</x:v>
      </x:c>
      <x:c r="J13" s="43" t="str">
        <x:v>Al-Zn-In; 200kg; 2520 Ah/kg; -1.05V; utilization 0.80; DNV-RP-B401</x:v>
      </x:c>
      <x:c r="K13" s="42" t="str">
        <x:v>unit</x:v>
      </x:c>
    </x:row>
    <x:row r="14">
      <x:c r="A14" s="42" t="str">
        <x:v>MAT-AN-ALZNIN-150</x:v>
      </x:c>
      <x:c r="B14" s="43" t="str">
        <x:v>Al-Zn-In anode half-bracelet - 150 kg</x:v>
      </x:c>
      <x:c r="C14" s="43" t="str">
        <x:v>Nordic CP AS</x:v>
      </x:c>
      <x:c r="D14" s="43" t="str">
        <x:v>NCP-AN150</x:v>
      </x:c>
      <x:c r="E14" s="43" t="str">
        <x:v>Active</x:v>
      </x:c>
      <x:c r="F14" s="43" t="str"/>
      <x:c r="G14" s="43" t="str"/>
      <x:c r="H14" s="43" t="str">
        <x:v>Not approved</x:v>
      </x:c>
      <x:c r="I14" s="43" t="str">
        <x:v>TS-CP-SACP-004</x:v>
      </x:c>
      <x:c r="J14" s="43" t="str">
        <x:v>Al-Zn-In; 150kg; 2300 Ah/kg; utilization 0.75</x:v>
      </x:c>
      <x:c r="K14" s="42" t="str">
        <x:v>unit</x:v>
      </x:c>
    </x:row>
    <x:row r="15">
      <x:c r="A15" s="42" t="str">
        <x:v>MAT-JTS-150-375</x:v>
      </x:c>
      <x:c r="B15" s="43" t="str">
        <x:v>Subsea J-tube seal - 150/375 mm</x:v>
      </x:c>
      <x:c r="C15" s="43" t="str">
        <x:v>SubseaSeal Technologies</x:v>
      </x:c>
      <x:c r="D15" s="43" t="str">
        <x:v>SST-JTS-150-375</x:v>
      </x:c>
      <x:c r="E15" s="43" t="str">
        <x:v>Active</x:v>
      </x:c>
      <x:c r="F15" s="43" t="str"/>
      <x:c r="G15" s="43" t="str"/>
      <x:c r="H15" s="43" t="str">
        <x:v>Approved</x:v>
      </x:c>
      <x:c r="I15" s="43" t="str">
        <x:v>TS-SUB-JTS-005</x:v>
      </x:c>
      <x:c r="J15" s="43" t="str">
        <x:v>Cable OD 150mm; tube ID 375mm; 3.0 bar; hydrolysis-resistant PU; super duplex; diverless ROV; 25-year life; hyperbaric test</x:v>
      </x:c>
      <x:c r="K15" s="42" t="str">
        <x:v>unit</x:v>
      </x:c>
    </x:row>
    <x:row r="16">
      <x:c r="A16" s="42" t="str">
        <x:v>MAT-JTS-150-400</x:v>
      </x:c>
      <x:c r="B16" s="43" t="str">
        <x:v>Subsea J-tube seal - 150/400 mm</x:v>
      </x:c>
      <x:c r="C16" s="43" t="str">
        <x:v>SubseaSeal Technologies</x:v>
      </x:c>
      <x:c r="D16" s="43" t="str">
        <x:v>SST-JTS-150-400</x:v>
      </x:c>
      <x:c r="E16" s="43" t="str">
        <x:v>Active</x:v>
      </x:c>
      <x:c r="F16" s="43" t="str"/>
      <x:c r="G16" s="43" t="str">
        <x:v>MAT-JTS-150-375</x:v>
      </x:c>
      <x:c r="H16" s="43" t="str">
        <x:v>Validation required</x:v>
      </x:c>
      <x:c r="I16" s="43" t="str">
        <x:v>TS-SUB-JTS-005</x:v>
      </x:c>
      <x:c r="J16" s="43" t="str">
        <x:v>Cable OD 150mm; tube ID 400mm; 3.0 bar; hydrolysis-resistant PU; super duplex; diverless ROV; 25-year life</x:v>
      </x:c>
      <x:c r="K16" s="42" t="str">
        <x:v>unit</x:v>
      </x:c>
    </x:row>
    <x:row r="17">
      <x:c r="A17" s="47" t="str">
        <x:v>MAT-JTS-190-450</x:v>
      </x:c>
      <x:c r="B17" s="48" t="str">
        <x:v>Subsea J-tube seal - 190/450 mm</x:v>
      </x:c>
      <x:c r="C17" s="48" t="str">
        <x:v>Marine Entry Systems</x:v>
      </x:c>
      <x:c r="D17" s="48" t="str">
        <x:v>MES-JTS-190-450</x:v>
      </x:c>
      <x:c r="E17" s="48" t="str">
        <x:v>Active</x:v>
      </x:c>
      <x:c r="F17" s="48" t="str"/>
      <x:c r="G17" s="48" t="str"/>
      <x:c r="H17" s="48" t="str">
        <x:v>Not approved</x:v>
      </x:c>
      <x:c r="I17" s="48" t="str">
        <x:v>TS-SUB-JTS-005</x:v>
      </x:c>
      <x:c r="J17" s="48" t="str">
        <x:v>Cable OD 190mm; tube ID 450mm; 2.5 bar; EPDM; diver-assisted</x:v>
      </x:c>
      <x:c r="K17" s="47" t="str">
        <x:v>unit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5" hidden="0" customWidth="1"/>
    <x:col min="4" max="4" width="22" hidden="0" customWidth="1"/>
    <x:col min="5" max="5" width="28" hidden="0" customWidth="1"/>
    <x:col min="6" max="6" width="20" hidden="0" customWidth="1"/>
    <x:col min="7" max="7" width="13" hidden="0" customWidth="1"/>
    <x:col min="8" max="8" width="9" hidden="0" customWidth="1"/>
    <x:col min="9" max="9" width="20" hidden="0" customWidth="1"/>
    <x:col min="10" max="10" width="16" hidden="0" customWidth="1"/>
    <x:col min="11" max="11" width="22" hidden="0" customWidth="1"/>
    <x:col min="12" max="12" width="34" hidden="0" customWidth="1"/>
    <x:col min="13" max="13" width="15" hidden="0" customWidth="1"/>
    <x:col min="14" max="14" width="42" hidden="0" customWidth="1"/>
  </x:cols>
  <x:sheetData>
    <x:row r="1" ht="30" customHeight="1">
      <x:c r="A1" s="36" t="str">
        <x:v>Inventory Balances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 ht="28" customHeight="1">
      <x:c r="A2" s="38" t="str">
        <x:v>Physical stock records; availability is not evidence of usability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 ht="32" customHeight="1">
      <x:c r="A4" s="39" t="str">
        <x:v>Inventory ID</x:v>
      </x:c>
      <x:c r="B4" s="40" t="str">
        <x:v>Material Number</x:v>
      </x:c>
      <x:c r="C4" s="40" t="str">
        <x:v>Manufacturer</x:v>
      </x:c>
      <x:c r="D4" s="40" t="str">
        <x:v>Model</x:v>
      </x:c>
      <x:c r="E4" s="40" t="str">
        <x:v>Storage Location</x:v>
      </x:c>
      <x:c r="F4" s="40" t="str">
        <x:v>Lot / Serial</x:v>
      </x:c>
      <x:c r="G4" s="40" t="str">
        <x:v>On Hand Qty</x:v>
      </x:c>
      <x:c r="H4" s="40" t="str">
        <x:v>UOM</x:v>
      </x:c>
      <x:c r="I4" s="40" t="str">
        <x:v>Condition</x:v>
      </x:c>
      <x:c r="J4" s="40" t="str">
        <x:v>Inventory Status</x:v>
      </x:c>
      <x:c r="K4" s="40" t="str">
        <x:v>Owning Project</x:v>
      </x:c>
      <x:c r="L4" s="40" t="str">
        <x:v>Transfer Restriction</x:v>
      </x:c>
      <x:c r="M4" s="40" t="str">
        <x:v>Last Updated</x:v>
      </x:c>
      <x:c r="N4" s="41" t="str">
        <x:v>Storage / Preservation Note</x:v>
      </x:c>
    </x:row>
    <x:row r="5">
      <x:c r="A5" s="42" t="str">
        <x:v>INV-0001</x:v>
      </x:c>
      <x:c r="B5" s="42" t="str">
        <x:v>MAT-CBL-66KV-CU630</x:v>
      </x:c>
      <x:c r="C5" s="42" t="str">
        <x:v>NordCable Marine</x:v>
      </x:c>
      <x:c r="D5" s="42" t="str">
        <x:v>NCM-66-CU630-48</x:v>
      </x:c>
      <x:c r="E5" s="42" t="str">
        <x:v>Rotterdam Cable Yard</x:v>
      </x:c>
      <x:c r="F5" s="42" t="str">
        <x:v>LOT-CBL-2407-A</x:v>
      </x:c>
      <x:c r="G5" s="44" t="n">
        <x:v>600</x:v>
      </x:c>
      <x:c r="H5" s="42" t="str">
        <x:v>m</x:v>
      </x:c>
      <x:c r="I5" s="43" t="str">
        <x:v>New / preserved</x:v>
      </x:c>
      <x:c r="J5" s="43" t="str">
        <x:v>Available</x:v>
      </x:c>
      <x:c r="K5" s="43" t="str">
        <x:v>Meridian OWF</x:v>
      </x:c>
      <x:c r="L5" s="43" t="str">
        <x:v>No restriction</x:v>
      </x:c>
      <x:c r="M5" s="52" t="n">
        <x:v>46258</x:v>
      </x:c>
      <x:c r="N5" s="43" t="str">
        <x:v>Indoor powered carousel; ends sealed</x:v>
      </x:c>
    </x:row>
    <x:row r="6">
      <x:c r="A6" s="42" t="str">
        <x:v>INV-0002</x:v>
      </x:c>
      <x:c r="B6" s="42" t="str">
        <x:v>MAT-CBL-66KV-CU630</x:v>
      </x:c>
      <x:c r="C6" s="42" t="str">
        <x:v>NordCable Marine</x:v>
      </x:c>
      <x:c r="D6" s="42" t="str">
        <x:v>NCM-66-CU630-48</x:v>
      </x:c>
      <x:c r="E6" s="42" t="str">
        <x:v>Eemshaven Cable Yard</x:v>
      </x:c>
      <x:c r="F6" s="42" t="str">
        <x:v>LOT-CBL-2403-C</x:v>
      </x:c>
      <x:c r="G6" s="44" t="n">
        <x:v>800</x:v>
      </x:c>
      <x:c r="H6" s="42" t="str">
        <x:v>m</x:v>
      </x:c>
      <x:c r="I6" s="43" t="str">
        <x:v>New / preserved</x:v>
      </x:c>
      <x:c r="J6" s="43" t="str">
        <x:v>Reserved</x:v>
      </x:c>
      <x:c r="K6" s="43" t="str">
        <x:v>NorthBank OWF</x:v>
      </x:c>
      <x:c r="L6" s="43" t="str">
        <x:v>Project release required</x:v>
      </x:c>
      <x:c r="M6" s="52" t="n">
        <x:v>46258</x:v>
      </x:c>
      <x:c r="N6" s="43" t="str">
        <x:v>Reserved for repair contingency</x:v>
      </x:c>
    </x:row>
    <x:row r="7">
      <x:c r="A7" s="42" t="str">
        <x:v>INV-0003</x:v>
      </x:c>
      <x:c r="B7" s="42" t="str">
        <x:v>MAT-CBL-66KV-AL630</x:v>
      </x:c>
      <x:c r="C7" s="42" t="str">
        <x:v>NordCable Marine</x:v>
      </x:c>
      <x:c r="D7" s="42" t="str">
        <x:v>NCM-66-AL630-48</x:v>
      </x:c>
      <x:c r="E7" s="42" t="str">
        <x:v>Rotterdam Cable Yard</x:v>
      </x:c>
      <x:c r="F7" s="42" t="str">
        <x:v>LOT-CBL-2501-B</x:v>
      </x:c>
      <x:c r="G7" s="44" t="n">
        <x:v>450</x:v>
      </x:c>
      <x:c r="H7" s="42" t="str">
        <x:v>m</x:v>
      </x:c>
      <x:c r="I7" s="43" t="str">
        <x:v>New / preserved</x:v>
      </x:c>
      <x:c r="J7" s="43" t="str">
        <x:v>Available</x:v>
      </x:c>
      <x:c r="K7" s="43" t="str">
        <x:v>Central inventory</x:v>
      </x:c>
      <x:c r="L7" s="43" t="str">
        <x:v>Engineering approval required</x:v>
      </x:c>
      <x:c r="M7" s="52" t="n">
        <x:v>46257</x:v>
      </x:c>
      <x:c r="N7" s="43" t="str">
        <x:v>Aluminum conductor substitute</x:v>
      </x:c>
    </x:row>
    <x:row r="8">
      <x:c r="A8" s="42" t="str">
        <x:v>INV-0004</x:v>
      </x:c>
      <x:c r="B8" s="42" t="str">
        <x:v>MAT-CBL-33KV-CU630</x:v>
      </x:c>
      <x:c r="C8" s="42" t="str">
        <x:v>Atlantic Cable Works</x:v>
      </x:c>
      <x:c r="D8" s="42" t="str">
        <x:v>ACW-33-CU630</x:v>
      </x:c>
      <x:c r="E8" s="42" t="str">
        <x:v>Vlissingen Store</x:v>
      </x:c>
      <x:c r="F8" s="42" t="str">
        <x:v>LOT-CBL-2211</x:v>
      </x:c>
      <x:c r="G8" s="44" t="n">
        <x:v>900</x:v>
      </x:c>
      <x:c r="H8" s="42" t="str">
        <x:v>m</x:v>
      </x:c>
      <x:c r="I8" s="43" t="str">
        <x:v>New / damaged end</x:v>
      </x:c>
      <x:c r="J8" s="43" t="str">
        <x:v>Quarantined</x:v>
      </x:c>
      <x:c r="K8" s="43" t="str">
        <x:v>Legacy Delta Project</x:v>
      </x:c>
      <x:c r="L8" s="43" t="str">
        <x:v>No transfer until NCR closure</x:v>
      </x:c>
      <x:c r="M8" s="52" t="n">
        <x:v>46254</x:v>
      </x:c>
      <x:c r="N8" s="43" t="str">
        <x:v>Voltage mismatch and damaged end</x:v>
      </x:c>
    </x:row>
    <x:row r="9">
      <x:c r="A9" s="42" t="str">
        <x:v>INV-0005</x:v>
      </x:c>
      <x:c r="B9" s="42" t="str">
        <x:v>MAT-TP-S355-7000</x:v>
      </x:c>
      <x:c r="C9" s="42" t="str">
        <x:v>NorthSea Fabrication</x:v>
      </x:c>
      <x:c r="D9" s="42" t="str">
        <x:v>NSF-TP-MER-01</x:v>
      </x:c>
      <x:c r="E9" s="42" t="str">
        <x:v>Eemshaven Quayside</x:v>
      </x:c>
      <x:c r="F9" s="42" t="str">
        <x:v>TP-MER-017</x:v>
      </x:c>
      <x:c r="G9" s="44" t="n">
        <x:v>1</x:v>
      </x:c>
      <x:c r="H9" s="42" t="str">
        <x:v>unit</x:v>
      </x:c>
      <x:c r="I9" s="43" t="str">
        <x:v>New / preserved</x:v>
      </x:c>
      <x:c r="J9" s="43" t="str">
        <x:v>Available</x:v>
      </x:c>
      <x:c r="K9" s="43" t="str">
        <x:v>Meridian OWF</x:v>
      </x:c>
      <x:c r="L9" s="43" t="str">
        <x:v>Inspection release required</x:v>
      </x:c>
      <x:c r="M9" s="52" t="n">
        <x:v>46258</x:v>
      </x:c>
      <x:c r="N9" s="43" t="str">
        <x:v>Flange protection installed</x:v>
      </x:c>
    </x:row>
    <x:row r="10">
      <x:c r="A10" s="42" t="str">
        <x:v>INV-0006</x:v>
      </x:c>
      <x:c r="B10" s="42" t="str">
        <x:v>MAT-TP-S460-6900</x:v>
      </x:c>
      <x:c r="C10" s="42" t="str">
        <x:v>Baltic Steel Structures</x:v>
      </x:c>
      <x:c r="D10" s="42" t="str">
        <x:v>BSS-TP-6900</x:v>
      </x:c>
      <x:c r="E10" s="42" t="str">
        <x:v>Cuxhaven Quayside</x:v>
      </x:c>
      <x:c r="F10" s="42" t="str">
        <x:v>TP-BSS-044</x:v>
      </x:c>
      <x:c r="G10" s="44" t="n">
        <x:v>1</x:v>
      </x:c>
      <x:c r="H10" s="42" t="str">
        <x:v>unit</x:v>
      </x:c>
      <x:c r="I10" s="43" t="str">
        <x:v>New / preserved</x:v>
      </x:c>
      <x:c r="J10" s="43" t="str">
        <x:v>Reserved</x:v>
      </x:c>
      <x:c r="K10" s="43" t="str">
        <x:v>Baltic Alpha OWF</x:v>
      </x:c>
      <x:c r="L10" s="43" t="str">
        <x:v>Executive project-transfer approval</x:v>
      </x:c>
      <x:c r="M10" s="52" t="n">
        <x:v>46256</x:v>
      </x:c>
      <x:c r="N10" s="43" t="str">
        <x:v>Geometry approval required</x:v>
      </x:c>
    </x:row>
    <x:row r="11">
      <x:c r="A11" s="42" t="str">
        <x:v>INV-0007</x:v>
      </x:c>
      <x:c r="B11" s="42" t="str">
        <x:v>MAT-HB-3000T-14S</x:v>
      </x:c>
      <x:c r="C11" s="42" t="str">
        <x:v>OceanLift Systems</x:v>
      </x:c>
      <x:c r="D11" s="42" t="str">
        <x:v>OLS-HB3000-14</x:v>
      </x:c>
      <x:c r="E11" s="42" t="str">
        <x:v>Rotterdam Heavy Lift Base</x:v>
      </x:c>
      <x:c r="F11" s="42" t="str">
        <x:v>SER-HB-3000-009</x:v>
      </x:c>
      <x:c r="G11" s="44" t="n">
        <x:v>1</x:v>
      </x:c>
      <x:c r="H11" s="42" t="str">
        <x:v>unit</x:v>
      </x:c>
      <x:c r="I11" s="43" t="str">
        <x:v>Used / preserved</x:v>
      </x:c>
      <x:c r="J11" s="43" t="str">
        <x:v>Available</x:v>
      </x:c>
      <x:c r="K11" s="43" t="str">
        <x:v>Vessel Assets</x:v>
      </x:c>
      <x:c r="L11" s="43" t="str">
        <x:v>Inspection and recertification required</x:v>
      </x:c>
      <x:c r="M11" s="52" t="n">
        <x:v>46258</x:v>
      </x:c>
      <x:c r="N11" s="43" t="str">
        <x:v>Stored after 2025 campaign</x:v>
      </x:c>
    </x:row>
    <x:row r="12">
      <x:c r="A12" s="42" t="str">
        <x:v>INV-0008</x:v>
      </x:c>
      <x:c r="B12" s="42" t="str">
        <x:v>MAT-HB-2500T-12S</x:v>
      </x:c>
      <x:c r="C12" s="42" t="str">
        <x:v>OceanLift Systems</x:v>
      </x:c>
      <x:c r="D12" s="42" t="str">
        <x:v>OLS-HB2500-12</x:v>
      </x:c>
      <x:c r="E12" s="42" t="str">
        <x:v>Aberdeen Marine Base</x:v>
      </x:c>
      <x:c r="F12" s="42" t="str">
        <x:v>SER-HB-2500-004</x:v>
      </x:c>
      <x:c r="G12" s="44" t="n">
        <x:v>1</x:v>
      </x:c>
      <x:c r="H12" s="42" t="str">
        <x:v>unit</x:v>
      </x:c>
      <x:c r="I12" s="43" t="str">
        <x:v>Used / serviceable</x:v>
      </x:c>
      <x:c r="J12" s="43" t="str">
        <x:v>Available</x:v>
      </x:c>
      <x:c r="K12" s="43" t="str">
        <x:v>Vessel Assets</x:v>
      </x:c>
      <x:c r="L12" s="43" t="str">
        <x:v>None</x:v>
      </x:c>
      <x:c r="M12" s="52" t="n">
        <x:v>46253</x:v>
      </x:c>
      <x:c r="N12" s="43" t="str">
        <x:v>SWL below requirement</x:v>
      </x:c>
    </x:row>
    <x:row r="13">
      <x:c r="A13" s="42" t="str">
        <x:v>INV-0009</x:v>
      </x:c>
      <x:c r="B13" s="42" t="str">
        <x:v>MAT-AN-ALZNIN-225</x:v>
      </x:c>
      <x:c r="C13" s="42" t="str">
        <x:v>Cathodic Marine BV</x:v>
      </x:c>
      <x:c r="D13" s="42" t="str">
        <x:v>CM-AN225</x:v>
      </x:c>
      <x:c r="E13" s="42" t="str">
        <x:v>Vlissingen Fabrication Yard</x:v>
      </x:c>
      <x:c r="F13" s="42" t="str">
        <x:v>LOT-AN-2502</x:v>
      </x:c>
      <x:c r="G13" s="44" t="n">
        <x:v>80</x:v>
      </x:c>
      <x:c r="H13" s="42" t="str">
        <x:v>unit</x:v>
      </x:c>
      <x:c r="I13" s="43" t="str">
        <x:v>New / preserved</x:v>
      </x:c>
      <x:c r="J13" s="43" t="str">
        <x:v>Available</x:v>
      </x:c>
      <x:c r="K13" s="43" t="str">
        <x:v>Central inventory</x:v>
      </x:c>
      <x:c r="L13" s="43" t="str">
        <x:v>Quality dossier review required</x:v>
      </x:c>
      <x:c r="M13" s="52" t="n">
        <x:v>46259</x:v>
      </x:c>
      <x:c r="N13" s="43" t="str">
        <x:v>Palletized; inserts protected</x:v>
      </x:c>
    </x:row>
    <x:row r="14">
      <x:c r="A14" s="42" t="str">
        <x:v>INV-0010</x:v>
      </x:c>
      <x:c r="B14" s="42" t="str">
        <x:v>MAT-AN-ALZNIN-225</x:v>
      </x:c>
      <x:c r="C14" s="42" t="str">
        <x:v>Cathodic Marine BV</x:v>
      </x:c>
      <x:c r="D14" s="42" t="str">
        <x:v>CM-AN225</x:v>
      </x:c>
      <x:c r="E14" s="42" t="str">
        <x:v>Esbjerg Store</x:v>
      </x:c>
      <x:c r="F14" s="42" t="str">
        <x:v>LOT-AN-2410</x:v>
      </x:c>
      <x:c r="G14" s="44" t="n">
        <x:v>40</x:v>
      </x:c>
      <x:c r="H14" s="42" t="str">
        <x:v>unit</x:v>
      </x:c>
      <x:c r="I14" s="43" t="str">
        <x:v>New / preserved</x:v>
      </x:c>
      <x:c r="J14" s="43" t="str">
        <x:v>Reserved</x:v>
      </x:c>
      <x:c r="K14" s="43" t="str">
        <x:v>Skagen OWF</x:v>
      </x:c>
      <x:c r="L14" s="43" t="str">
        <x:v>Project release required</x:v>
      </x:c>
      <x:c r="M14" s="52" t="n">
        <x:v>46257</x:v>
      </x:c>
      <x:c r="N14" s="43" t="str">
        <x:v>Reserved quantity</x:v>
      </x:c>
    </x:row>
    <x:row r="15">
      <x:c r="A15" s="42" t="str">
        <x:v>INV-0011</x:v>
      </x:c>
      <x:c r="B15" s="42" t="str">
        <x:v>MAT-AN-ALZNIN-200</x:v>
      </x:c>
      <x:c r="C15" s="42" t="str">
        <x:v>Cathodic Marine BV</x:v>
      </x:c>
      <x:c r="D15" s="42" t="str">
        <x:v>CM-AN200</x:v>
      </x:c>
      <x:c r="E15" s="42" t="str">
        <x:v>Rotterdam Fabrication Store</x:v>
      </x:c>
      <x:c r="F15" s="42" t="str">
        <x:v>LOT-AN-2308</x:v>
      </x:c>
      <x:c r="G15" s="44" t="n">
        <x:v>60</x:v>
      </x:c>
      <x:c r="H15" s="42" t="str">
        <x:v>unit</x:v>
      </x:c>
      <x:c r="I15" s="43" t="str">
        <x:v>New / preserved</x:v>
      </x:c>
      <x:c r="J15" s="43" t="str">
        <x:v>Available</x:v>
      </x:c>
      <x:c r="K15" s="43" t="str">
        <x:v>Central inventory</x:v>
      </x:c>
      <x:c r="L15" s="43" t="str">
        <x:v>CP engineering approval required</x:v>
      </x:c>
      <x:c r="M15" s="52" t="n">
        <x:v>46255</x:v>
      </x:c>
      <x:c r="N15" s="43" t="str">
        <x:v>Lower net weight; design review required</x:v>
      </x:c>
    </x:row>
    <x:row r="16">
      <x:c r="A16" s="42" t="str">
        <x:v>INV-0012</x:v>
      </x:c>
      <x:c r="B16" s="42" t="str">
        <x:v>MAT-AN-ALZNIN-150</x:v>
      </x:c>
      <x:c r="C16" s="42" t="str">
        <x:v>Nordic CP AS</x:v>
      </x:c>
      <x:c r="D16" s="42" t="str">
        <x:v>NCP-AN150</x:v>
      </x:c>
      <x:c r="E16" s="42" t="str">
        <x:v>Vlissingen Fabrication Yard</x:v>
      </x:c>
      <x:c r="F16" s="42" t="str">
        <x:v>LOT-AN-2019</x:v>
      </x:c>
      <x:c r="G16" s="44" t="n">
        <x:v>100</x:v>
      </x:c>
      <x:c r="H16" s="42" t="str">
        <x:v>unit</x:v>
      </x:c>
      <x:c r="I16" s="43" t="str">
        <x:v>New / weathered</x:v>
      </x:c>
      <x:c r="J16" s="43" t="str">
        <x:v>Available</x:v>
      </x:c>
      <x:c r="K16" s="43" t="str">
        <x:v>Legacy Delta Project</x:v>
      </x:c>
      <x:c r="L16" s="43" t="str">
        <x:v>None</x:v>
      </x:c>
      <x:c r="M16" s="52" t="n">
        <x:v>46254</x:v>
      </x:c>
      <x:c r="N16" s="43" t="str">
        <x:v>Capacity and utilization below requirement</x:v>
      </x:c>
    </x:row>
    <x:row r="17">
      <x:c r="A17" s="42" t="str">
        <x:v>INV-0013</x:v>
      </x:c>
      <x:c r="B17" s="42" t="str">
        <x:v>MAT-JTS-150-375</x:v>
      </x:c>
      <x:c r="C17" s="42" t="str">
        <x:v>SubseaSeal Technologies</x:v>
      </x:c>
      <x:c r="D17" s="42" t="str">
        <x:v>SST-JTS-150-375</x:v>
      </x:c>
      <x:c r="E17" s="42" t="str">
        <x:v>Rotterdam Warehouse</x:v>
      </x:c>
      <x:c r="F17" s="42" t="str">
        <x:v>LOT-JTS-2409-A</x:v>
      </x:c>
      <x:c r="G17" s="44" t="n">
        <x:v>18</x:v>
      </x:c>
      <x:c r="H17" s="42" t="str">
        <x:v>unit</x:v>
      </x:c>
      <x:c r="I17" s="43" t="str">
        <x:v>New / preserved</x:v>
      </x:c>
      <x:c r="J17" s="43" t="str">
        <x:v>Available</x:v>
      </x:c>
      <x:c r="K17" s="43" t="str">
        <x:v>Central inventory</x:v>
      </x:c>
      <x:c r="L17" s="43" t="str">
        <x:v>Certificate and preservation review required</x:v>
      </x:c>
      <x:c r="M17" s="52" t="n">
        <x:v>46259</x:v>
      </x:c>
      <x:c r="N17" s="43" t="str">
        <x:v>Exact dimensional match</x:v>
      </x:c>
    </x:row>
    <x:row r="18">
      <x:c r="A18" s="42" t="str">
        <x:v>INV-0014</x:v>
      </x:c>
      <x:c r="B18" s="42" t="str">
        <x:v>MAT-JTS-150-400</x:v>
      </x:c>
      <x:c r="C18" s="42" t="str">
        <x:v>SubseaSeal Technologies</x:v>
      </x:c>
      <x:c r="D18" s="42" t="str">
        <x:v>SST-JTS-150-400</x:v>
      </x:c>
      <x:c r="E18" s="42" t="str">
        <x:v>Aberdeen Marine Base</x:v>
      </x:c>
      <x:c r="F18" s="42" t="str">
        <x:v>LOT-JTS-2310-C</x:v>
      </x:c>
      <x:c r="G18" s="44" t="n">
        <x:v>12</x:v>
      </x:c>
      <x:c r="H18" s="42" t="str">
        <x:v>unit</x:v>
      </x:c>
      <x:c r="I18" s="43" t="str">
        <x:v>New / preserved</x:v>
      </x:c>
      <x:c r="J18" s="43" t="str">
        <x:v>Available</x:v>
      </x:c>
      <x:c r="K18" s="43" t="str">
        <x:v>Central inventory</x:v>
      </x:c>
      <x:c r="L18" s="43" t="str">
        <x:v>Engineering approval required</x:v>
      </x:c>
      <x:c r="M18" s="52" t="n">
        <x:v>46256</x:v>
      </x:c>
      <x:c r="N18" s="43" t="str">
        <x:v>Tube interface adaptor may be required</x:v>
      </x:c>
    </x:row>
    <x:row r="19">
      <x:c r="A19" s="42" t="str">
        <x:v>INV-0015</x:v>
      </x:c>
      <x:c r="B19" s="42" t="str">
        <x:v>MAT-JTS-150-375</x:v>
      </x:c>
      <x:c r="C19" s="42" t="str">
        <x:v>SubseaSeal Technologies</x:v>
      </x:c>
      <x:c r="D19" s="42" t="str">
        <x:v>SST-JTS-150-375</x:v>
      </x:c>
      <x:c r="E19" s="42" t="str">
        <x:v>Esbjerg Store</x:v>
      </x:c>
      <x:c r="F19" s="42" t="str">
        <x:v>LOT-JTS-2501-B</x:v>
      </x:c>
      <x:c r="G19" s="44" t="n">
        <x:v>8</x:v>
      </x:c>
      <x:c r="H19" s="42" t="str">
        <x:v>unit</x:v>
      </x:c>
      <x:c r="I19" s="43" t="str">
        <x:v>New / preserved</x:v>
      </x:c>
      <x:c r="J19" s="43" t="str">
        <x:v>Reserved</x:v>
      </x:c>
      <x:c r="K19" s="43" t="str">
        <x:v>Skagen OWF</x:v>
      </x:c>
      <x:c r="L19" s="43" t="str">
        <x:v>Project release required</x:v>
      </x:c>
      <x:c r="M19" s="52" t="n">
        <x:v>46258</x:v>
      </x:c>
      <x:c r="N19" s="43" t="str">
        <x:v>Exact match but reserved</x:v>
      </x:c>
    </x:row>
    <x:row r="20">
      <x:c r="A20" s="47" t="str">
        <x:v>INV-0016</x:v>
      </x:c>
      <x:c r="B20" s="47" t="str">
        <x:v>MAT-JTS-190-450</x:v>
      </x:c>
      <x:c r="C20" s="47" t="str">
        <x:v>Marine Entry Systems</x:v>
      </x:c>
      <x:c r="D20" s="47" t="str">
        <x:v>MES-JTS-190-450</x:v>
      </x:c>
      <x:c r="E20" s="47" t="str">
        <x:v>Rotterdam Warehouse</x:v>
      </x:c>
      <x:c r="F20" s="47" t="str">
        <x:v>LOT-JTS-2204</x:v>
      </x:c>
      <x:c r="G20" s="49" t="n">
        <x:v>10</x:v>
      </x:c>
      <x:c r="H20" s="47" t="str">
        <x:v>unit</x:v>
      </x:c>
      <x:c r="I20" s="48" t="str">
        <x:v>New / preserved</x:v>
      </x:c>
      <x:c r="J20" s="48" t="str">
        <x:v>Available</x:v>
      </x:c>
      <x:c r="K20" s="48" t="str">
        <x:v>Central inventory</x:v>
      </x:c>
      <x:c r="L20" s="48" t="str">
        <x:v>None</x:v>
      </x:c>
      <x:c r="M20" s="53" t="n">
        <x:v>46252</x:v>
      </x:c>
      <x:c r="N20" s="48" t="str">
        <x:v>Cable OD and pressure rating do not meet requirement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24" hidden="0" customWidth="1"/>
    <x:col min="4" max="4" width="14" hidden="0" customWidth="1"/>
    <x:col min="5" max="5" width="9" hidden="0" customWidth="1"/>
    <x:col min="6" max="6" width="23" hidden="0" customWidth="1"/>
    <x:col min="7" max="7" width="24" hidden="0" customWidth="1"/>
    <x:col min="8" max="8" width="18" hidden="0" customWidth="1"/>
    <x:col min="9" max="9" width="18" hidden="0" customWidth="1"/>
    <x:col min="10" max="10" width="16" hidden="0" customWidth="1"/>
    <x:col min="11" max="11" width="28" hidden="0" customWidth="1"/>
  </x:cols>
  <x:sheetData>
    <x:row r="1" ht="30" customHeight="1">
      <x:c r="A1" s="36" t="str">
        <x:v>Reservations and Project Ownership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8" t="str">
        <x:v>Commitments that affect quantity available for transfer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2" customHeight="1">
      <x:c r="A4" s="39" t="str">
        <x:v>Reservation ID</x:v>
      </x:c>
      <x:c r="B4" s="40" t="str">
        <x:v>Inventory ID</x:v>
      </x:c>
      <x:c r="C4" s="40" t="str">
        <x:v>Material Number</x:v>
      </x:c>
      <x:c r="D4" s="40" t="str">
        <x:v>Reserved Qty</x:v>
      </x:c>
      <x:c r="E4" s="40" t="str">
        <x:v>UOM</x:v>
      </x:c>
      <x:c r="F4" s="40" t="str">
        <x:v>Owning Project</x:v>
      </x:c>
      <x:c r="G4" s="40" t="str">
        <x:v>Purpose</x:v>
      </x:c>
      <x:c r="H4" s="40" t="str">
        <x:v>Reservation Status</x:v>
      </x:c>
      <x:c r="I4" s="40" t="str">
        <x:v>Transfer Permitted</x:v>
      </x:c>
      <x:c r="J4" s="40" t="str">
        <x:v>Reservation End</x:v>
      </x:c>
      <x:c r="K4" s="41" t="str">
        <x:v>Decision Owner</x:v>
      </x:c>
    </x:row>
    <x:row r="5">
      <x:c r="A5" s="42" t="str">
        <x:v>RES-0001</x:v>
      </x:c>
      <x:c r="B5" s="42" t="str">
        <x:v>INV-0002</x:v>
      </x:c>
      <x:c r="C5" s="42" t="str">
        <x:v>MAT-CBL-66KV-CU630</x:v>
      </x:c>
      <x:c r="D5" s="42" t="n">
        <x:v>800</x:v>
      </x:c>
      <x:c r="E5" s="42" t="str">
        <x:v>m</x:v>
      </x:c>
      <x:c r="F5" s="42" t="str">
        <x:v>NorthBank OWF</x:v>
      </x:c>
      <x:c r="G5" s="42" t="str">
        <x:v>Contingency cable</x:v>
      </x:c>
      <x:c r="H5" s="42" t="str">
        <x:v>Firm</x:v>
      </x:c>
      <x:c r="I5" s="42" t="str">
        <x:v>No</x:v>
      </x:c>
      <x:c r="J5" s="45" t="n">
        <x:v>46568</x:v>
      </x:c>
      <x:c r="K5" s="42" t="str">
        <x:v>NorthBank Project Director</x:v>
      </x:c>
    </x:row>
    <x:row r="6">
      <x:c r="A6" s="42" t="str">
        <x:v>RES-0002</x:v>
      </x:c>
      <x:c r="B6" s="42" t="str">
        <x:v>INV-0006</x:v>
      </x:c>
      <x:c r="C6" s="42" t="str">
        <x:v>MAT-TP-S460-6900</x:v>
      </x:c>
      <x:c r="D6" s="42" t="n">
        <x:v>1</x:v>
      </x:c>
      <x:c r="E6" s="42" t="str">
        <x:v>unit</x:v>
      </x:c>
      <x:c r="F6" s="42" t="str">
        <x:v>Baltic Alpha OWF</x:v>
      </x:c>
      <x:c r="G6" s="42" t="str">
        <x:v>Installation spare</x:v>
      </x:c>
      <x:c r="H6" s="42" t="str">
        <x:v>Firm</x:v>
      </x:c>
      <x:c r="I6" s="42" t="str">
        <x:v>No</x:v>
      </x:c>
      <x:c r="J6" s="45" t="n">
        <x:v>46630</x:v>
      </x:c>
      <x:c r="K6" s="42" t="str">
        <x:v>Baltic Alpha Project Director</x:v>
      </x:c>
    </x:row>
    <x:row r="7">
      <x:c r="A7" s="42" t="str">
        <x:v>RES-0003</x:v>
      </x:c>
      <x:c r="B7" s="42" t="str">
        <x:v>INV-0010</x:v>
      </x:c>
      <x:c r="C7" s="42" t="str">
        <x:v>MAT-AN-ALZNIN-225</x:v>
      </x:c>
      <x:c r="D7" s="42" t="n">
        <x:v>40</x:v>
      </x:c>
      <x:c r="E7" s="42" t="str">
        <x:v>unit</x:v>
      </x:c>
      <x:c r="F7" s="42" t="str">
        <x:v>Skagen OWF</x:v>
      </x:c>
      <x:c r="G7" s="42" t="str">
        <x:v>Fabrication allocation</x:v>
      </x:c>
      <x:c r="H7" s="42" t="str">
        <x:v>Firm</x:v>
      </x:c>
      <x:c r="I7" s="42" t="str">
        <x:v>Conditional</x:v>
      </x:c>
      <x:c r="J7" s="45" t="n">
        <x:v>46477</x:v>
      </x:c>
      <x:c r="K7" s="42" t="str">
        <x:v>Skagen Package Manager</x:v>
      </x:c>
    </x:row>
    <x:row r="8">
      <x:c r="A8" s="47" t="str">
        <x:v>RES-0004</x:v>
      </x:c>
      <x:c r="B8" s="47" t="str">
        <x:v>INV-0015</x:v>
      </x:c>
      <x:c r="C8" s="47" t="str">
        <x:v>MAT-JTS-150-375</x:v>
      </x:c>
      <x:c r="D8" s="47" t="n">
        <x:v>8</x:v>
      </x:c>
      <x:c r="E8" s="47" t="str">
        <x:v>unit</x:v>
      </x:c>
      <x:c r="F8" s="47" t="str">
        <x:v>Skagen OWF</x:v>
      </x:c>
      <x:c r="G8" s="47" t="str">
        <x:v>Cable entry package</x:v>
      </x:c>
      <x:c r="H8" s="47" t="str">
        <x:v>Firm</x:v>
      </x:c>
      <x:c r="I8" s="47" t="str">
        <x:v>Conditional</x:v>
      </x:c>
      <x:c r="J8" s="50" t="n">
        <x:v>46507</x:v>
      </x:c>
      <x:c r="K8" s="47" t="str">
        <x:v>Skagen Package Manager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14" hidden="0" customWidth="1"/>
    <x:col min="5" max="5" width="9" hidden="0" customWidth="1"/>
    <x:col min="6" max="6" width="26" hidden="0" customWidth="1"/>
    <x:col min="7" max="7" width="28" hidden="0" customWidth="1"/>
    <x:col min="8" max="8" width="20" hidden="0" customWidth="1"/>
    <x:col min="9" max="9" width="16" hidden="0" customWidth="1"/>
    <x:col min="10" max="10" width="22" hidden="0" customWidth="1"/>
    <x:col min="11" max="11" width="48" hidden="0" customWidth="1"/>
  </x:cols>
  <x:sheetData>
    <x:row r="1" ht="30" customHeight="1">
      <x:c r="A1" s="36" t="str">
        <x:v>Expected Receipts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8" t="str">
        <x:v>Open purchase orders and transfers that may affect the demand check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2" customHeight="1">
      <x:c r="A4" s="39" t="str">
        <x:v>Receipt ID</x:v>
      </x:c>
      <x:c r="B4" s="40" t="str">
        <x:v>PO / Transfer Ref</x:v>
      </x:c>
      <x:c r="C4" s="40" t="str">
        <x:v>Material Number</x:v>
      </x:c>
      <x:c r="D4" s="40" t="str">
        <x:v>Expected Qty</x:v>
      </x:c>
      <x:c r="E4" s="40" t="str">
        <x:v>UOM</x:v>
      </x:c>
      <x:c r="F4" s="40" t="str">
        <x:v>Supplier / Source</x:v>
      </x:c>
      <x:c r="G4" s="40" t="str">
        <x:v>Destination</x:v>
      </x:c>
      <x:c r="H4" s="40" t="str">
        <x:v>Expected Availability</x:v>
      </x:c>
      <x:c r="I4" s="40" t="str">
        <x:v>Status</x:v>
      </x:c>
      <x:c r="J4" s="40" t="str">
        <x:v>Owning Project</x:v>
      </x:c>
      <x:c r="K4" s="41" t="str">
        <x:v>Timing Note</x:v>
      </x:c>
    </x:row>
    <x:row r="5">
      <x:c r="A5" s="42" t="str">
        <x:v>REC-0001</x:v>
      </x:c>
      <x:c r="B5" s="42" t="str">
        <x:v>PO-FE-45821</x:v>
      </x:c>
      <x:c r="C5" s="42" t="str">
        <x:v>MAT-CBL-66KV-CU630</x:v>
      </x:c>
      <x:c r="D5" s="42" t="n">
        <x:v>1000</x:v>
      </x:c>
      <x:c r="E5" s="42" t="str">
        <x:v>m</x:v>
      </x:c>
      <x:c r="F5" s="42" t="str">
        <x:v>NordCable Marine</x:v>
      </x:c>
      <x:c r="G5" s="42" t="str">
        <x:v>Rotterdam Cable Yard</x:v>
      </x:c>
      <x:c r="H5" s="45" t="n">
        <x:v>46374</x:v>
      </x:c>
      <x:c r="I5" s="42" t="str">
        <x:v>Confirmed</x:v>
      </x:c>
      <x:c r="J5" s="42" t="str">
        <x:v>Meridian OWF</x:v>
      </x:c>
      <x:c r="K5" s="43" t="str">
        <x:v>Open PO; include only if timing policy permits</x:v>
      </x:c>
    </x:row>
    <x:row r="6">
      <x:c r="A6" s="42" t="str">
        <x:v>REC-0002</x:v>
      </x:c>
      <x:c r="B6" s="42" t="str">
        <x:v>TR-FE-0097</x:v>
      </x:c>
      <x:c r="C6" s="42" t="str">
        <x:v>MAT-TP-S355-7000</x:v>
      </x:c>
      <x:c r="D6" s="42" t="n">
        <x:v>1</x:v>
      </x:c>
      <x:c r="E6" s="42" t="str">
        <x:v>unit</x:v>
      </x:c>
      <x:c r="F6" s="42" t="str">
        <x:v>NorthSea Fabrication</x:v>
      </x:c>
      <x:c r="G6" s="42" t="str">
        <x:v>Eemshaven Quayside</x:v>
      </x:c>
      <x:c r="H6" s="45" t="n">
        <x:v>46461</x:v>
      </x:c>
      <x:c r="I6" s="42" t="str">
        <x:v>Forecast</x:v>
      </x:c>
      <x:c r="J6" s="42" t="str">
        <x:v>Meridian OWF</x:v>
      </x:c>
      <x:c r="K6" s="43" t="str">
        <x:v>Release from cancelled demonstrator project pending</x:v>
      </x:c>
    </x:row>
    <x:row r="7">
      <x:c r="A7" s="42" t="str">
        <x:v>REC-0003</x:v>
      </x:c>
      <x:c r="B7" s="42" t="str">
        <x:v>PO-FE-46207</x:v>
      </x:c>
      <x:c r="C7" s="42" t="str">
        <x:v>MAT-AN-ALZNIN-225</x:v>
      </x:c>
      <x:c r="D7" s="42" t="n">
        <x:v>60</x:v>
      </x:c>
      <x:c r="E7" s="42" t="str">
        <x:v>unit</x:v>
      </x:c>
      <x:c r="F7" s="42" t="str">
        <x:v>Cathodic Marine BV</x:v>
      </x:c>
      <x:c r="G7" s="42" t="str">
        <x:v>Vlissingen Fabrication Yard</x:v>
      </x:c>
      <x:c r="H7" s="45" t="n">
        <x:v>46428</x:v>
      </x:c>
      <x:c r="I7" s="42" t="str">
        <x:v>Confirmed</x:v>
      </x:c>
      <x:c r="J7" s="42" t="str">
        <x:v>Meridian OWF</x:v>
      </x:c>
      <x:c r="K7" s="43" t="str">
        <x:v>Existing PO receipt before required date</x:v>
      </x:c>
    </x:row>
    <x:row r="8">
      <x:c r="A8" s="47" t="str">
        <x:v>REC-0004</x:v>
      </x:c>
      <x:c r="B8" s="47" t="str">
        <x:v>TR-FE-0101</x:v>
      </x:c>
      <x:c r="C8" s="47" t="str">
        <x:v>MAT-JTS-150-375</x:v>
      </x:c>
      <x:c r="D8" s="47" t="n">
        <x:v>6</x:v>
      </x:c>
      <x:c r="E8" s="47" t="str">
        <x:v>unit</x:v>
      </x:c>
      <x:c r="F8" s="47" t="str">
        <x:v>SubseaSeal Technologies</x:v>
      </x:c>
      <x:c r="G8" s="47" t="str">
        <x:v>Rotterdam Warehouse</x:v>
      </x:c>
      <x:c r="H8" s="50" t="n">
        <x:v>46443</x:v>
      </x:c>
      <x:c r="I8" s="47" t="str">
        <x:v>Forecast</x:v>
      </x:c>
      <x:c r="J8" s="47" t="str">
        <x:v>Central inventory</x:v>
      </x:c>
      <x:c r="K8" s="48" t="str">
        <x:v>Expected after requirement date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42" hidden="0" customWidth="1"/>
    <x:col min="5" max="5" width="18" hidden="0" customWidth="1"/>
    <x:col min="6" max="6" width="15" hidden="0" customWidth="1"/>
    <x:col min="7" max="7" width="18" hidden="0" customWidth="1"/>
    <x:col min="8" max="8" width="20" hidden="0" customWidth="1"/>
    <x:col min="9" max="9" width="16" hidden="0" customWidth="1"/>
    <x:col min="10" max="10" width="20" hidden="0" customWidth="1"/>
    <x:col min="11" max="11" width="20" hidden="0" customWidth="1"/>
    <x:col min="12" max="12" width="62" hidden="0" customWidth="1"/>
  </x:cols>
  <x:sheetData>
    <x:row r="1" ht="30" customHeight="1">
      <x:c r="A1" s="36" t="str">
        <x:v>Quality and Technical Records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28" customHeight="1">
      <x:c r="A2" s="38" t="str">
        <x:v>Certificate, traceability, inspection, preservation and technical assessment evidence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32" customHeight="1">
      <x:c r="A4" s="39" t="str">
        <x:v>Quality Record ID</x:v>
      </x:c>
      <x:c r="B4" s="40" t="str">
        <x:v>Inventory ID</x:v>
      </x:c>
      <x:c r="C4" s="40" t="str">
        <x:v>Lot / Serial</x:v>
      </x:c>
      <x:c r="D4" s="40" t="str">
        <x:v>Certificates</x:v>
      </x:c>
      <x:c r="E4" s="40" t="str">
        <x:v>Certificate Status</x:v>
      </x:c>
      <x:c r="F4" s="40" t="str">
        <x:v>Traceability</x:v>
      </x:c>
      <x:c r="G4" s="40" t="str">
        <x:v>Inspection Status</x:v>
      </x:c>
      <x:c r="H4" s="40" t="str">
        <x:v>Preservation Status</x:v>
      </x:c>
      <x:c r="I4" s="40" t="str">
        <x:v>Last Review</x:v>
      </x:c>
      <x:c r="J4" s="40" t="str">
        <x:v>Estimated Ready Date</x:v>
      </x:c>
      <x:c r="K4" s="40" t="str">
        <x:v>Assessment</x:v>
      </x:c>
      <x:c r="L4" s="41" t="str">
        <x:v>Evidence / Outstanding Check</x:v>
      </x:c>
    </x:row>
    <x:row r="5">
      <x:c r="A5" s="42" t="str">
        <x:v>QR-0001</x:v>
      </x:c>
      <x:c r="B5" s="42" t="str">
        <x:v>INV-0001</x:v>
      </x:c>
      <x:c r="C5" s="42" t="str">
        <x:v>LOT-CBL-2407-A</x:v>
      </x:c>
      <x:c r="D5" s="43" t="str">
        <x:v>Material certificate; FAT; fibre OTDR</x:v>
      </x:c>
      <x:c r="E5" s="43" t="str">
        <x:v>Complete</x:v>
      </x:c>
      <x:c r="F5" s="43" t="str">
        <x:v>Verified</x:v>
      </x:c>
      <x:c r="G5" s="43" t="str">
        <x:v>Complete</x:v>
      </x:c>
      <x:c r="H5" s="43" t="str">
        <x:v>Valid</x:v>
      </x:c>
      <x:c r="I5" s="43" t="str">
        <x:v>2026-08-24</x:v>
      </x:c>
      <x:c r="J5" s="43" t="str">
        <x:v>2027-01-15</x:v>
      </x:c>
      <x:c r="K5" s="43" t="str">
        <x:v>Available</x:v>
      </x:c>
      <x:c r="L5" s="43" t="str">
        <x:v>Exact spec attributes verified</x:v>
      </x:c>
    </x:row>
    <x:row r="6">
      <x:c r="A6" s="42" t="str">
        <x:v>QR-0002</x:v>
      </x:c>
      <x:c r="B6" s="42" t="str">
        <x:v>INV-0002</x:v>
      </x:c>
      <x:c r="C6" s="42" t="str">
        <x:v>LOT-CBL-2403-C</x:v>
      </x:c>
      <x:c r="D6" s="43" t="str">
        <x:v>Material certificate; FAT; fibre OTDR</x:v>
      </x:c>
      <x:c r="E6" s="43" t="str">
        <x:v>Complete</x:v>
      </x:c>
      <x:c r="F6" s="43" t="str">
        <x:v>Verified</x:v>
      </x:c>
      <x:c r="G6" s="43" t="str">
        <x:v>Complete</x:v>
      </x:c>
      <x:c r="H6" s="43" t="str">
        <x:v>Valid</x:v>
      </x:c>
      <x:c r="I6" s="43" t="str">
        <x:v>2026-08-20</x:v>
      </x:c>
      <x:c r="J6" s="43" t="str">
        <x:v>2027-01-15</x:v>
      </x:c>
      <x:c r="K6" s="43" t="str">
        <x:v>Available</x:v>
      </x:c>
      <x:c r="L6" s="43" t="str">
        <x:v>Technical fit confirmed; allocation unresolved</x:v>
      </x:c>
    </x:row>
    <x:row r="7">
      <x:c r="A7" s="42" t="str">
        <x:v>QR-0003</x:v>
      </x:c>
      <x:c r="B7" s="42" t="str">
        <x:v>INV-0003</x:v>
      </x:c>
      <x:c r="C7" s="42" t="str">
        <x:v>LOT-CBL-2501-B</x:v>
      </x:c>
      <x:c r="D7" s="43" t="str">
        <x:v>Material certificate; FAT</x:v>
      </x:c>
      <x:c r="E7" s="43" t="str">
        <x:v>Complete</x:v>
      </x:c>
      <x:c r="F7" s="43" t="str">
        <x:v>Verified</x:v>
      </x:c>
      <x:c r="G7" s="43" t="str">
        <x:v>Complete</x:v>
      </x:c>
      <x:c r="H7" s="43" t="str">
        <x:v>Valid</x:v>
      </x:c>
      <x:c r="I7" s="43" t="str">
        <x:v>2026-08-23</x:v>
      </x:c>
      <x:c r="J7" s="43" t="str">
        <x:v>2027-01-15</x:v>
      </x:c>
      <x:c r="K7" s="43" t="str">
        <x:v>Engineering review</x:v>
      </x:c>
      <x:c r="L7" s="43" t="str">
        <x:v>Aluminum conductor needs project approval</x:v>
      </x:c>
    </x:row>
    <x:row r="8">
      <x:c r="A8" s="42" t="str">
        <x:v>QR-0004</x:v>
      </x:c>
      <x:c r="B8" s="42" t="str">
        <x:v>INV-0004</x:v>
      </x:c>
      <x:c r="C8" s="42" t="str">
        <x:v>LOT-CBL-2211</x:v>
      </x:c>
      <x:c r="D8" s="43" t="str">
        <x:v>Legacy certificate pack</x:v>
      </x:c>
      <x:c r="E8" s="43" t="str">
        <x:v>Incomplete</x:v>
      </x:c>
      <x:c r="F8" s="43" t="str">
        <x:v>Partial</x:v>
      </x:c>
      <x:c r="G8" s="43" t="str">
        <x:v>Failed</x:v>
      </x:c>
      <x:c r="H8" s="43" t="str">
        <x:v>Expired</x:v>
      </x:c>
      <x:c r="I8" s="43" t="str">
        <x:v>2026-08-20</x:v>
      </x:c>
      <x:c r="J8" s="43" t="str"/>
      <x:c r="K8" s="43" t="str">
        <x:v>Quarantined</x:v>
      </x:c>
      <x:c r="L8" s="43" t="str">
        <x:v>33kV rating fails requirement</x:v>
      </x:c>
    </x:row>
    <x:row r="9">
      <x:c r="A9" s="42" t="str">
        <x:v>QR-0005</x:v>
      </x:c>
      <x:c r="B9" s="42" t="str">
        <x:v>INV-0005</x:v>
      </x:c>
      <x:c r="C9" s="42" t="str">
        <x:v>TP-MER-017</x:v>
      </x:c>
      <x:c r="D9" s="43" t="str">
        <x:v>EN 10204 3.2; coating dossier; dimensional report</x:v>
      </x:c>
      <x:c r="E9" s="43" t="str">
        <x:v>Complete</x:v>
      </x:c>
      <x:c r="F9" s="43" t="str">
        <x:v>Verified</x:v>
      </x:c>
      <x:c r="G9" s="43" t="str">
        <x:v>Pending</x:v>
      </x:c>
      <x:c r="H9" s="43" t="str">
        <x:v>Valid</x:v>
      </x:c>
      <x:c r="I9" s="43" t="str">
        <x:v>2026-08-24</x:v>
      </x:c>
      <x:c r="J9" s="43" t="str">
        <x:v>2027-04-20</x:v>
      </x:c>
      <x:c r="K9" s="43" t="str">
        <x:v>Inspection pending</x:v>
      </x:c>
      <x:c r="L9" s="43" t="str">
        <x:v>Final flange survey required</x:v>
      </x:c>
    </x:row>
    <x:row r="10">
      <x:c r="A10" s="42" t="str">
        <x:v>QR-0006</x:v>
      </x:c>
      <x:c r="B10" s="42" t="str">
        <x:v>INV-0006</x:v>
      </x:c>
      <x:c r="C10" s="42" t="str">
        <x:v>TP-BSS-044</x:v>
      </x:c>
      <x:c r="D10" s="43" t="str">
        <x:v>EN 10204 3.2; coating dossier</x:v>
      </x:c>
      <x:c r="E10" s="43" t="str">
        <x:v>Complete</x:v>
      </x:c>
      <x:c r="F10" s="43" t="str">
        <x:v>Verified</x:v>
      </x:c>
      <x:c r="G10" s="43" t="str">
        <x:v>Complete</x:v>
      </x:c>
      <x:c r="H10" s="43" t="str">
        <x:v>Valid</x:v>
      </x:c>
      <x:c r="I10" s="43" t="str">
        <x:v>2026-08-22</x:v>
      </x:c>
      <x:c r="J10" s="43" t="str">
        <x:v>2027-04-10</x:v>
      </x:c>
      <x:c r="K10" s="43" t="str">
        <x:v>Engineering review</x:v>
      </x:c>
      <x:c r="L10" s="43" t="str">
        <x:v>Bottom OD differs by 0.1m</x:v>
      </x:c>
    </x:row>
    <x:row r="11">
      <x:c r="A11" s="42" t="str">
        <x:v>QR-0007</x:v>
      </x:c>
      <x:c r="B11" s="42" t="str">
        <x:v>INV-0007</x:v>
      </x:c>
      <x:c r="C11" s="42" t="str">
        <x:v>SER-HB-3000-009</x:v>
      </x:c>
      <x:c r="D11" s="43" t="str">
        <x:v>EN 10204 3.2; load test certificate</x:v>
      </x:c>
      <x:c r="E11" s="43" t="str">
        <x:v>Complete</x:v>
      </x:c>
      <x:c r="F11" s="43" t="str">
        <x:v>Verified</x:v>
      </x:c>
      <x:c r="G11" s="43" t="str">
        <x:v>Expired</x:v>
      </x:c>
      <x:c r="H11" s="43" t="str">
        <x:v>Preservation current</x:v>
      </x:c>
      <x:c r="I11" s="43" t="str">
        <x:v>2026-08-24</x:v>
      </x:c>
      <x:c r="J11" s="43" t="str">
        <x:v>2026-11-15</x:v>
      </x:c>
      <x:c r="K11" s="43" t="str">
        <x:v>Recertification pending</x:v>
      </x:c>
      <x:c r="L11" s="43" t="str">
        <x:v>Load test expired 2026-05-31</x:v>
      </x:c>
    </x:row>
    <x:row r="12">
      <x:c r="A12" s="42" t="str">
        <x:v>QR-0008</x:v>
      </x:c>
      <x:c r="B12" s="42" t="str">
        <x:v>INV-0008</x:v>
      </x:c>
      <x:c r="C12" s="42" t="str">
        <x:v>SER-HB-2500-004</x:v>
      </x:c>
      <x:c r="D12" s="43" t="str">
        <x:v>EN 10204 3.2</x:v>
      </x:c>
      <x:c r="E12" s="43" t="str">
        <x:v>Complete</x:v>
      </x:c>
      <x:c r="F12" s="43" t="str">
        <x:v>Verified</x:v>
      </x:c>
      <x:c r="G12" s="43" t="str">
        <x:v>Complete</x:v>
      </x:c>
      <x:c r="H12" s="43" t="str">
        <x:v>Valid</x:v>
      </x:c>
      <x:c r="I12" s="43" t="str">
        <x:v>2026-08-19</x:v>
      </x:c>
      <x:c r="J12" s="43" t="str">
        <x:v>2026-10-30</x:v>
      </x:c>
      <x:c r="K12" s="43" t="str">
        <x:v>Not suitable</x:v>
      </x:c>
      <x:c r="L12" s="43" t="str">
        <x:v>SWL 2500t below 3000t</x:v>
      </x:c>
    </x:row>
    <x:row r="13">
      <x:c r="A13" s="42" t="str">
        <x:v>QR-0009</x:v>
      </x:c>
      <x:c r="B13" s="42" t="str">
        <x:v>INV-0009</x:v>
      </x:c>
      <x:c r="C13" s="42" t="str">
        <x:v>LOT-AN-2502</x:v>
      </x:c>
      <x:c r="D13" s="43" t="str">
        <x:v>EN 10204 3.1; chemical analysis</x:v>
      </x:c>
      <x:c r="E13" s="43" t="str">
        <x:v>Present</x:v>
      </x:c>
      <x:c r="F13" s="43" t="str">
        <x:v>Verified</x:v>
      </x:c>
      <x:c r="G13" s="43" t="str">
        <x:v>Pending</x:v>
      </x:c>
      <x:c r="H13" s="43" t="str">
        <x:v>Valid</x:v>
      </x:c>
      <x:c r="I13" s="43" t="str">
        <x:v>2026-08-25</x:v>
      </x:c>
      <x:c r="J13" s="43" t="str">
        <x:v>2027-02-15</x:v>
      </x:c>
      <x:c r="K13" s="43" t="str">
        <x:v>Quality review</x:v>
      </x:c>
      <x:c r="L13" s="43" t="str">
        <x:v>Batch release signature missing</x:v>
      </x:c>
    </x:row>
    <x:row r="14">
      <x:c r="A14" s="42" t="str">
        <x:v>QR-0010</x:v>
      </x:c>
      <x:c r="B14" s="42" t="str">
        <x:v>INV-0010</x:v>
      </x:c>
      <x:c r="C14" s="42" t="str">
        <x:v>LOT-AN-2410</x:v>
      </x:c>
      <x:c r="D14" s="43" t="str">
        <x:v>EN 10204 3.1; chemical analysis</x:v>
      </x:c>
      <x:c r="E14" s="43" t="str">
        <x:v>Complete</x:v>
      </x:c>
      <x:c r="F14" s="43" t="str">
        <x:v>Verified</x:v>
      </x:c>
      <x:c r="G14" s="43" t="str">
        <x:v>Complete</x:v>
      </x:c>
      <x:c r="H14" s="43" t="str">
        <x:v>Valid</x:v>
      </x:c>
      <x:c r="I14" s="43" t="str">
        <x:v>2026-08-23</x:v>
      </x:c>
      <x:c r="J14" s="43" t="str">
        <x:v>2027-02-15</x:v>
      </x:c>
      <x:c r="K14" s="43" t="str">
        <x:v>Available</x:v>
      </x:c>
      <x:c r="L14" s="43" t="str">
        <x:v>Allocation unresolved</x:v>
      </x:c>
    </x:row>
    <x:row r="15">
      <x:c r="A15" s="42" t="str">
        <x:v>QR-0011</x:v>
      </x:c>
      <x:c r="B15" s="42" t="str">
        <x:v>INV-0011</x:v>
      </x:c>
      <x:c r="C15" s="42" t="str">
        <x:v>LOT-AN-2308</x:v>
      </x:c>
      <x:c r="D15" s="43" t="str">
        <x:v>EN 10204 3.1; chemical analysis</x:v>
      </x:c>
      <x:c r="E15" s="43" t="str">
        <x:v>Complete</x:v>
      </x:c>
      <x:c r="F15" s="43" t="str">
        <x:v>Verified</x:v>
      </x:c>
      <x:c r="G15" s="43" t="str">
        <x:v>Complete</x:v>
      </x:c>
      <x:c r="H15" s="43" t="str">
        <x:v>Valid</x:v>
      </x:c>
      <x:c r="I15" s="43" t="str">
        <x:v>2026-08-21</x:v>
      </x:c>
      <x:c r="J15" s="43" t="str">
        <x:v>2027-02-15</x:v>
      </x:c>
      <x:c r="K15" s="43" t="str">
        <x:v>Engineering review</x:v>
      </x:c>
      <x:c r="L15" s="43" t="str">
        <x:v>225kg design basis versus 200kg candidate</x:v>
      </x:c>
    </x:row>
    <x:row r="16">
      <x:c r="A16" s="42" t="str">
        <x:v>QR-0012</x:v>
      </x:c>
      <x:c r="B16" s="42" t="str">
        <x:v>INV-0012</x:v>
      </x:c>
      <x:c r="C16" s="42" t="str">
        <x:v>LOT-AN-2019</x:v>
      </x:c>
      <x:c r="D16" s="43" t="str">
        <x:v>Partial certificate pack</x:v>
      </x:c>
      <x:c r="E16" s="43" t="str">
        <x:v>Incomplete</x:v>
      </x:c>
      <x:c r="F16" s="43" t="str">
        <x:v>Partial</x:v>
      </x:c>
      <x:c r="G16" s="43" t="str">
        <x:v>Failed</x:v>
      </x:c>
      <x:c r="H16" s="43" t="str">
        <x:v>Expired</x:v>
      </x:c>
      <x:c r="I16" s="43" t="str">
        <x:v>2026-08-20</x:v>
      </x:c>
      <x:c r="J16" s="43" t="str"/>
      <x:c r="K16" s="43" t="str">
        <x:v>Not suitable</x:v>
      </x:c>
      <x:c r="L16" s="43" t="str">
        <x:v>2300 Ah/kg below 2500 minimum; utilization 0.75 below 0.80</x:v>
      </x:c>
    </x:row>
    <x:row r="17">
      <x:c r="A17" s="42" t="str">
        <x:v>QR-0013</x:v>
      </x:c>
      <x:c r="B17" s="42" t="str">
        <x:v>INV-0013</x:v>
      </x:c>
      <x:c r="C17" s="42" t="str">
        <x:v>LOT-JTS-2409-A</x:v>
      </x:c>
      <x:c r="D17" s="43" t="str">
        <x:v>Material certificate; hyperbaric test</x:v>
      </x:c>
      <x:c r="E17" s="43" t="str">
        <x:v>Present</x:v>
      </x:c>
      <x:c r="F17" s="43" t="str">
        <x:v>Verified</x:v>
      </x:c>
      <x:c r="G17" s="43" t="str">
        <x:v>Pending</x:v>
      </x:c>
      <x:c r="H17" s="43" t="str">
        <x:v>Review due</x:v>
      </x:c>
      <x:c r="I17" s="43" t="str">
        <x:v>2026-08-25</x:v>
      </x:c>
      <x:c r="J17" s="43" t="str">
        <x:v>2027-02-05</x:v>
      </x:c>
      <x:c r="K17" s="43" t="str">
        <x:v>Quality review</x:v>
      </x:c>
      <x:c r="L17" s="43" t="str">
        <x:v>Preservation record unsigned</x:v>
      </x:c>
    </x:row>
    <x:row r="18">
      <x:c r="A18" s="42" t="str">
        <x:v>QR-0014</x:v>
      </x:c>
      <x:c r="B18" s="42" t="str">
        <x:v>INV-0014</x:v>
      </x:c>
      <x:c r="C18" s="42" t="str">
        <x:v>LOT-JTS-2310-C</x:v>
      </x:c>
      <x:c r="D18" s="43" t="str">
        <x:v>Material certificate; hyperbaric test</x:v>
      </x:c>
      <x:c r="E18" s="43" t="str">
        <x:v>Complete</x:v>
      </x:c>
      <x:c r="F18" s="43" t="str">
        <x:v>Verified</x:v>
      </x:c>
      <x:c r="G18" s="43" t="str">
        <x:v>Complete</x:v>
      </x:c>
      <x:c r="H18" s="43" t="str">
        <x:v>Valid</x:v>
      </x:c>
      <x:c r="I18" s="43" t="str">
        <x:v>2026-08-22</x:v>
      </x:c>
      <x:c r="J18" s="43" t="str">
        <x:v>2027-02-05</x:v>
      </x:c>
      <x:c r="K18" s="43" t="str">
        <x:v>Engineering review</x:v>
      </x:c>
      <x:c r="L18" s="43" t="str">
        <x:v>375mm required versus 400mm candidate</x:v>
      </x:c>
    </x:row>
    <x:row r="19">
      <x:c r="A19" s="42" t="str">
        <x:v>QR-0015</x:v>
      </x:c>
      <x:c r="B19" s="42" t="str">
        <x:v>INV-0015</x:v>
      </x:c>
      <x:c r="C19" s="42" t="str">
        <x:v>LOT-JTS-2501-B</x:v>
      </x:c>
      <x:c r="D19" s="43" t="str">
        <x:v>Material certificate; hyperbaric test</x:v>
      </x:c>
      <x:c r="E19" s="43" t="str">
        <x:v>Complete</x:v>
      </x:c>
      <x:c r="F19" s="43" t="str">
        <x:v>Verified</x:v>
      </x:c>
      <x:c r="G19" s="43" t="str">
        <x:v>Complete</x:v>
      </x:c>
      <x:c r="H19" s="43" t="str">
        <x:v>Valid</x:v>
      </x:c>
      <x:c r="I19" s="43" t="str">
        <x:v>2026-08-24</x:v>
      </x:c>
      <x:c r="J19" s="43" t="str">
        <x:v>2027-02-05</x:v>
      </x:c>
      <x:c r="K19" s="43" t="str">
        <x:v>Available</x:v>
      </x:c>
      <x:c r="L19" s="43" t="str">
        <x:v>Allocation unresolved</x:v>
      </x:c>
    </x:row>
    <x:row r="20">
      <x:c r="A20" s="47" t="str">
        <x:v>QR-0016</x:v>
      </x:c>
      <x:c r="B20" s="47" t="str">
        <x:v>INV-0016</x:v>
      </x:c>
      <x:c r="C20" s="47" t="str">
        <x:v>LOT-JTS-2204</x:v>
      </x:c>
      <x:c r="D20" s="48" t="str">
        <x:v>Material certificate</x:v>
      </x:c>
      <x:c r="E20" s="48" t="str">
        <x:v>Complete</x:v>
      </x:c>
      <x:c r="F20" s="48" t="str">
        <x:v>Verified</x:v>
      </x:c>
      <x:c r="G20" s="48" t="str">
        <x:v>Failed</x:v>
      </x:c>
      <x:c r="H20" s="48" t="str">
        <x:v>Valid</x:v>
      </x:c>
      <x:c r="I20" s="48" t="str">
        <x:v>2026-08-18</x:v>
      </x:c>
      <x:c r="J20" s="48" t="str"/>
      <x:c r="K20" s="48" t="str">
        <x:v>Not suitable</x:v>
      </x:c>
      <x:c r="L20" s="48" t="str">
        <x:v>190mm cable OD outside required interface; pressure 2.5 bar below 3.0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64" hidden="0" customWidth="1"/>
    <x:col min="5" max="5" width="15" hidden="0" customWidth="1"/>
    <x:col min="6" max="6" width="20" hidden="0" customWidth="1"/>
    <x:col min="7" max="7" width="24" hidden="0" customWidth="1"/>
    <x:col min="8" max="8" width="26" hidden="0" customWidth="1"/>
    <x:col min="9" max="9" width="21" hidden="0" customWidth="1"/>
    <x:col min="10" max="10" width="19" hidden="0" customWidth="1"/>
    <x:col min="11" max="11" width="27" hidden="0" customWidth="1"/>
    <x:col min="12" max="12" width="23" hidden="0" customWidth="1"/>
    <x:col min="13" max="13" width="58" hidden="0" customWidth="1"/>
    <x:col min="14" max="14" width="48" hidden="0" customWidth="1"/>
  </x:cols>
  <x:sheetData>
    <x:row r="1" ht="30" customHeight="1">
      <x:c r="A1" s="36" t="str">
        <x:v>Candidate Match Assessment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 ht="28" customHeight="1">
      <x:c r="A2" s="38" t="str">
        <x:v>Each plausible match requires a recorded disposition before ITT issue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</x:row>
    <x:row r="4" ht="32" customHeight="1">
      <x:c r="A4" s="39" t="str">
        <x:v>Match ID</x:v>
      </x:c>
      <x:c r="B4" s="40" t="str">
        <x:v>Requirement ID</x:v>
      </x:c>
      <x:c r="C4" s="40" t="str">
        <x:v>Inventory ID</x:v>
      </x:c>
      <x:c r="D4" s="40" t="str">
        <x:v>Match Basis</x:v>
      </x:c>
      <x:c r="E4" s="40" t="str">
        <x:v>Candidate Qty</x:v>
      </x:c>
      <x:c r="F4" s="40" t="str">
        <x:v>Potentially Usable Qty</x:v>
      </x:c>
      <x:c r="G4" s="40" t="str">
        <x:v>Classification</x:v>
      </x:c>
      <x:c r="H4" s="40" t="str">
        <x:v>Disposition</x:v>
      </x:c>
      <x:c r="I4" s="40" t="str">
        <x:v>Approved Inventory Qty</x:v>
      </x:c>
      <x:c r="J4" s="40" t="str">
        <x:v>Decision Status</x:v>
      </x:c>
      <x:c r="K4" s="40" t="str">
        <x:v>Action Owner</x:v>
      </x:c>
      <x:c r="L4" s="40" t="str">
        <x:v>Decision Timestamp</x:v>
      </x:c>
      <x:c r="M4" s="40" t="str">
        <x:v>Reason / Outstanding Check</x:v>
      </x:c>
      <x:c r="N4" s="41" t="str">
        <x:v>Source Evidence</x:v>
      </x:c>
    </x:row>
    <x:row r="5">
      <x:c r="A5" s="42" t="str">
        <x:v>MATCH-0001</x:v>
      </x:c>
      <x:c r="B5" s="42" t="str">
        <x:v>REQ-MER-2101</x:v>
      </x:c>
      <x:c r="C5" s="42" t="str">
        <x:v>INV-0001</x:v>
      </x:c>
      <x:c r="D5" s="43" t="str">
        <x:v>Exact material, voltage, conductor, cross-section and fibre count</x:v>
      </x:c>
      <x:c r="E5" s="43" t="n">
        <x:v>600</x:v>
      </x:c>
      <x:c r="F5" s="43" t="n">
        <x:v>600</x:v>
      </x:c>
      <x:c r="G5" s="43" t="str">
        <x:v>Available and compliant</x:v>
      </x:c>
      <x:c r="H5" s="43" t="str">
        <x:v>Use inventory</x:v>
      </x:c>
      <x:c r="I5" s="43" t="n">
        <x:v>600</x:v>
      </x:c>
      <x:c r="J5" s="43" t="str">
        <x:v>Approved</x:v>
      </x:c>
      <x:c r="K5" s="43" t="str">
        <x:v>Procurement user</x:v>
      </x:c>
      <x:c r="L5" s="43" t="str">
        <x:v>2026-08-25 10:00 UTC</x:v>
      </x:c>
      <x:c r="M5" s="43" t="str">
        <x:v>Technical and quality evidence complete</x:v>
      </x:c>
      <x:c r="N5" s="43" t="str">
        <x:v>Inventory Balances INV-0001; Quality QR-0001</x:v>
      </x:c>
    </x:row>
    <x:row r="6">
      <x:c r="A6" s="42" t="str">
        <x:v>MATCH-0002</x:v>
      </x:c>
      <x:c r="B6" s="42" t="str">
        <x:v>REQ-MER-2101</x:v>
      </x:c>
      <x:c r="C6" s="42" t="str">
        <x:v>INV-0002</x:v>
      </x:c>
      <x:c r="D6" s="43" t="str">
        <x:v>Exact material and specification; firm reservation</x:v>
      </x:c>
      <x:c r="E6" s="43" t="n">
        <x:v>800</x:v>
      </x:c>
      <x:c r="F6" s="43" t="n">
        <x:v>0</x:v>
      </x:c>
      <x:c r="G6" s="43" t="str">
        <x:v>Available but reserved</x:v>
      </x:c>
      <x:c r="H6" s="43" t="str">
        <x:v>Retain full procurement quantity</x:v>
      </x:c>
      <x:c r="I6" s="43" t="n">
        <x:v>0</x:v>
      </x:c>
      <x:c r="J6" s="43" t="str">
        <x:v>Closed</x:v>
      </x:c>
      <x:c r="K6" s="43" t="str">
        <x:v>NorthBank Project Director</x:v>
      </x:c>
      <x:c r="L6" s="43" t="str">
        <x:v>2026-08-25 10:05 UTC</x:v>
      </x:c>
      <x:c r="M6" s="43" t="str">
        <x:v>Reserved as repair contingency</x:v>
      </x:c>
      <x:c r="N6" s="43" t="str">
        <x:v>Reservation RES-0001; Quality QR-0002</x:v>
      </x:c>
    </x:row>
    <x:row r="7">
      <x:c r="A7" s="42" t="str">
        <x:v>MATCH-0003</x:v>
      </x:c>
      <x:c r="B7" s="42" t="str">
        <x:v>REQ-MER-2101</x:v>
      </x:c>
      <x:c r="C7" s="42" t="str">
        <x:v>INV-0003</x:v>
      </x:c>
      <x:c r="D7" s="43" t="str">
        <x:v>Same voltage and dimensions; aluminum instead of requested copper</x:v>
      </x:c>
      <x:c r="E7" s="43" t="n">
        <x:v>450</x:v>
      </x:c>
      <x:c r="F7" s="43" t="n">
        <x:v>450</x:v>
      </x:c>
      <x:c r="G7" s="43" t="str">
        <x:v>Potential substitute</x:v>
      </x:c>
      <x:c r="H7" s="43" t="str">
        <x:v>Request validation</x:v>
      </x:c>
      <x:c r="I7" s="43" t="n">
        <x:v>0</x:v>
      </x:c>
      <x:c r="J7" s="43" t="str">
        <x:v>Validation pending</x:v>
      </x:c>
      <x:c r="K7" s="43" t="str">
        <x:v>Cable Engineering Lead</x:v>
      </x:c>
      <x:c r="L7" s="43" t="str">
        <x:v>2026-08-25 10:06 UTC</x:v>
      </x:c>
      <x:c r="M7" s="43" t="str">
        <x:v>Confirm electrical-loss and termination compatibility</x:v>
      </x:c>
      <x:c r="N7" s="43" t="str">
        <x:v>Material Master; Quality QR-0003</x:v>
      </x:c>
    </x:row>
    <x:row r="8">
      <x:c r="A8" s="42" t="str">
        <x:v>MATCH-0004</x:v>
      </x:c>
      <x:c r="B8" s="42" t="str">
        <x:v>REQ-MER-2101</x:v>
      </x:c>
      <x:c r="C8" s="42" t="str">
        <x:v>INV-0004</x:v>
      </x:c>
      <x:c r="D8" s="43" t="str">
        <x:v>Similar description but voltage, fibre count and condition fail</x:v>
      </x:c>
      <x:c r="E8" s="43" t="n">
        <x:v>900</x:v>
      </x:c>
      <x:c r="F8" s="43" t="n">
        <x:v>0</x:v>
      </x:c>
      <x:c r="G8" s="43" t="str">
        <x:v>Not suitable</x:v>
      </x:c>
      <x:c r="H8" s="43" t="str">
        <x:v>Reject match</x:v>
      </x:c>
      <x:c r="I8" s="43" t="n">
        <x:v>0</x:v>
      </x:c>
      <x:c r="J8" s="43" t="str">
        <x:v>Closed</x:v>
      </x:c>
      <x:c r="K8" s="43" t="str">
        <x:v>Procurement user</x:v>
      </x:c>
      <x:c r="L8" s="43" t="str">
        <x:v>2026-08-25 10:07 UTC</x:v>
      </x:c>
      <x:c r="M8" s="43" t="str">
        <x:v>33kV is below 66kV requirement; damaged cable end</x:v>
      </x:c>
      <x:c r="N8" s="43" t="str">
        <x:v>Quality QR-0004</x:v>
      </x:c>
    </x:row>
    <x:row r="9">
      <x:c r="A9" s="42" t="str">
        <x:v>MATCH-0005</x:v>
      </x:c>
      <x:c r="B9" s="42" t="str">
        <x:v>REQ-MER-2102</x:v>
      </x:c>
      <x:c r="C9" s="42" t="str">
        <x:v>INV-0005</x:v>
      </x:c>
      <x:c r="D9" s="43" t="str">
        <x:v>Exact project material and geometry; final inspection pending</x:v>
      </x:c>
      <x:c r="E9" s="43" t="n">
        <x:v>1</x:v>
      </x:c>
      <x:c r="F9" s="43" t="n">
        <x:v>1</x:v>
      </x:c>
      <x:c r="G9" s="43" t="str">
        <x:v>Available but not ready</x:v>
      </x:c>
      <x:c r="H9" s="43" t="str">
        <x:v>Request validation</x:v>
      </x:c>
      <x:c r="I9" s="43" t="n">
        <x:v>0</x:v>
      </x:c>
      <x:c r="J9" s="43" t="str">
        <x:v>Validation pending</x:v>
      </x:c>
      <x:c r="K9" s="43" t="str">
        <x:v>Structural QA Lead</x:v>
      </x:c>
      <x:c r="L9" s="43" t="str">
        <x:v>2026-08-25 10:10 UTC</x:v>
      </x:c>
      <x:c r="M9" s="43" t="str">
        <x:v>Complete flange survey by 2027-04-20</x:v>
      </x:c>
      <x:c r="N9" s="43" t="str">
        <x:v>Quality QR-0005</x:v>
      </x:c>
    </x:row>
    <x:row r="10">
      <x:c r="A10" s="42" t="str">
        <x:v>MATCH-0006</x:v>
      </x:c>
      <x:c r="B10" s="42" t="str">
        <x:v>REQ-MER-2102</x:v>
      </x:c>
      <x:c r="C10" s="42" t="str">
        <x:v>INV-0006</x:v>
      </x:c>
      <x:c r="D10" s="43" t="str">
        <x:v>Approved steel grade and standard; geometry differs and stock is reserved</x:v>
      </x:c>
      <x:c r="E10" s="43" t="n">
        <x:v>1</x:v>
      </x:c>
      <x:c r="F10" s="43" t="n">
        <x:v>0</x:v>
      </x:c>
      <x:c r="G10" s="43" t="str">
        <x:v>Potential substitute</x:v>
      </x:c>
      <x:c r="H10" s="43" t="str">
        <x:v>Request validation</x:v>
      </x:c>
      <x:c r="I10" s="43" t="n">
        <x:v>0</x:v>
      </x:c>
      <x:c r="J10" s="43" t="str">
        <x:v>Validation pending</x:v>
      </x:c>
      <x:c r="K10" s="43" t="str">
        <x:v>Structural Engineering Lead</x:v>
      </x:c>
      <x:c r="L10" s="43" t="str">
        <x:v>2026-08-25 10:11 UTC</x:v>
      </x:c>
      <x:c r="M10" s="43" t="str">
        <x:v>Geometry and project-transfer decisions required</x:v>
      </x:c>
      <x:c r="N10" s="43" t="str">
        <x:v>Reservation RES-0002; Quality QR-0006</x:v>
      </x:c>
    </x:row>
    <x:row r="11">
      <x:c r="A11" s="42" t="str">
        <x:v>MATCH-0007</x:v>
      </x:c>
      <x:c r="B11" s="42" t="str">
        <x:v>REQ-MER-2103</x:v>
      </x:c>
      <x:c r="C11" s="42" t="str">
        <x:v>INV-0007</x:v>
      </x:c>
      <x:c r="D11" s="43" t="str">
        <x:v>Exact SWL, hook, sheave and standards; load test expired</x:v>
      </x:c>
      <x:c r="E11" s="43" t="n">
        <x:v>1</x:v>
      </x:c>
      <x:c r="F11" s="43" t="n">
        <x:v>1</x:v>
      </x:c>
      <x:c r="G11" s="43" t="str">
        <x:v>Available but not ready</x:v>
      </x:c>
      <x:c r="H11" s="43" t="str">
        <x:v>Request validation</x:v>
      </x:c>
      <x:c r="I11" s="43" t="n">
        <x:v>0</x:v>
      </x:c>
      <x:c r="J11" s="43" t="str">
        <x:v>Validation pending</x:v>
      </x:c>
      <x:c r="K11" s="43" t="str">
        <x:v>Marine Assurance Lead</x:v>
      </x:c>
      <x:c r="L11" s="43" t="str">
        <x:v>2026-08-25 10:15 UTC</x:v>
      </x:c>
      <x:c r="M11" s="43" t="str">
        <x:v>Recertification readiness forecast 2026-11-15</x:v>
      </x:c>
      <x:c r="N11" s="43" t="str">
        <x:v>Quality QR-0007</x:v>
      </x:c>
    </x:row>
    <x:row r="12">
      <x:c r="A12" s="42" t="str">
        <x:v>MATCH-0008</x:v>
      </x:c>
      <x:c r="B12" s="42" t="str">
        <x:v>REQ-MER-2103</x:v>
      </x:c>
      <x:c r="C12" s="42" t="str">
        <x:v>INV-0008</x:v>
      </x:c>
      <x:c r="D12" s="43" t="str">
        <x:v>Hook block family match but SWL below requirement</x:v>
      </x:c>
      <x:c r="E12" s="43" t="n">
        <x:v>1</x:v>
      </x:c>
      <x:c r="F12" s="43" t="n">
        <x:v>0</x:v>
      </x:c>
      <x:c r="G12" s="43" t="str">
        <x:v>Not suitable</x:v>
      </x:c>
      <x:c r="H12" s="43" t="str">
        <x:v>Reject match</x:v>
      </x:c>
      <x:c r="I12" s="43" t="n">
        <x:v>0</x:v>
      </x:c>
      <x:c r="J12" s="43" t="str">
        <x:v>Closed</x:v>
      </x:c>
      <x:c r="K12" s="43" t="str">
        <x:v>Procurement user</x:v>
      </x:c>
      <x:c r="L12" s="43" t="str">
        <x:v>2026-08-25 10:16 UTC</x:v>
      </x:c>
      <x:c r="M12" s="43" t="str">
        <x:v>2500t SWL fails 3000t requirement</x:v>
      </x:c>
      <x:c r="N12" s="43" t="str">
        <x:v>Quality QR-0008</x:v>
      </x:c>
    </x:row>
    <x:row r="13">
      <x:c r="A13" s="42" t="str">
        <x:v>MATCH-0009</x:v>
      </x:c>
      <x:c r="B13" s="42" t="str">
        <x:v>REQ-MER-2104</x:v>
      </x:c>
      <x:c r="C13" s="42" t="str">
        <x:v>INV-0009</x:v>
      </x:c>
      <x:c r="D13" s="43" t="str">
        <x:v>Exact material, weight, capacity and standard; release evidence incomplete</x:v>
      </x:c>
      <x:c r="E13" s="43" t="n">
        <x:v>80</x:v>
      </x:c>
      <x:c r="F13" s="43" t="n">
        <x:v>80</x:v>
      </x:c>
      <x:c r="G13" s="43" t="str">
        <x:v>Available but not ready</x:v>
      </x:c>
      <x:c r="H13" s="43" t="str">
        <x:v>Request validation</x:v>
      </x:c>
      <x:c r="I13" s="43" t="n">
        <x:v>0</x:v>
      </x:c>
      <x:c r="J13" s="43" t="str">
        <x:v>Validation pending</x:v>
      </x:c>
      <x:c r="K13" s="43" t="str">
        <x:v>Cathodic Protection QA Lead</x:v>
      </x:c>
      <x:c r="L13" s="43" t="str">
        <x:v>2026-08-25 10:20 UTC</x:v>
      </x:c>
      <x:c r="M13" s="43" t="str">
        <x:v>Obtain signed batch release</x:v>
      </x:c>
      <x:c r="N13" s="43" t="str">
        <x:v>Quality QR-0009</x:v>
      </x:c>
    </x:row>
    <x:row r="14">
      <x:c r="A14" s="42" t="str">
        <x:v>MATCH-0010</x:v>
      </x:c>
      <x:c r="B14" s="42" t="str">
        <x:v>REQ-MER-2104</x:v>
      </x:c>
      <x:c r="C14" s="42" t="str">
        <x:v>INV-0010</x:v>
      </x:c>
      <x:c r="D14" s="43" t="str">
        <x:v>Exact technical match but allocated to another project</x:v>
      </x:c>
      <x:c r="E14" s="43" t="n">
        <x:v>40</x:v>
      </x:c>
      <x:c r="F14" s="43" t="n">
        <x:v>0</x:v>
      </x:c>
      <x:c r="G14" s="43" t="str">
        <x:v>Available but reserved</x:v>
      </x:c>
      <x:c r="H14" s="43" t="str">
        <x:v>Request validation</x:v>
      </x:c>
      <x:c r="I14" s="43" t="n">
        <x:v>0</x:v>
      </x:c>
      <x:c r="J14" s="43" t="str">
        <x:v>Validation pending</x:v>
      </x:c>
      <x:c r="K14" s="43" t="str">
        <x:v>Skagen Package Manager</x:v>
      </x:c>
      <x:c r="L14" s="43" t="str">
        <x:v>2026-08-25 10:21 UTC</x:v>
      </x:c>
      <x:c r="M14" s="43" t="str">
        <x:v>Confirm whether 40 units can transfer</x:v>
      </x:c>
      <x:c r="N14" s="43" t="str">
        <x:v>Reservation RES-0003; Quality QR-0010</x:v>
      </x:c>
    </x:row>
    <x:row r="15">
      <x:c r="A15" s="42" t="str">
        <x:v>MATCH-0011</x:v>
      </x:c>
      <x:c r="B15" s="42" t="str">
        <x:v>REQ-MER-2104</x:v>
      </x:c>
      <x:c r="C15" s="42" t="str">
        <x:v>INV-0011</x:v>
      </x:c>
      <x:c r="D15" s="43" t="str">
        <x:v>Same alloy and standard; 200kg rather than 225kg design basis</x:v>
      </x:c>
      <x:c r="E15" s="43" t="n">
        <x:v>60</x:v>
      </x:c>
      <x:c r="F15" s="43" t="n">
        <x:v>60</x:v>
      </x:c>
      <x:c r="G15" s="43" t="str">
        <x:v>Potential substitute</x:v>
      </x:c>
      <x:c r="H15" s="43" t="str">
        <x:v>Request validation</x:v>
      </x:c>
      <x:c r="I15" s="43" t="n">
        <x:v>0</x:v>
      </x:c>
      <x:c r="J15" s="43" t="str">
        <x:v>Validation pending</x:v>
      </x:c>
      <x:c r="K15" s="43" t="str">
        <x:v>Cathodic Protection Engineer</x:v>
      </x:c>
      <x:c r="L15" s="43" t="str">
        <x:v>2026-08-25 10:22 UTC</x:v>
      </x:c>
      <x:c r="M15" s="43" t="str">
        <x:v>Recalculate CP design life and quantity</x:v>
      </x:c>
      <x:c r="N15" s="43" t="str">
        <x:v>Quality QR-0011</x:v>
      </x:c>
    </x:row>
    <x:row r="16">
      <x:c r="A16" s="42" t="str">
        <x:v>MATCH-0012</x:v>
      </x:c>
      <x:c r="B16" s="42" t="str">
        <x:v>REQ-MER-2104</x:v>
      </x:c>
      <x:c r="C16" s="42" t="str">
        <x:v>INV-0012</x:v>
      </x:c>
      <x:c r="D16" s="43" t="str">
        <x:v>Material family match; electrochemical capacity and utilization fail</x:v>
      </x:c>
      <x:c r="E16" s="43" t="n">
        <x:v>100</x:v>
      </x:c>
      <x:c r="F16" s="43" t="n">
        <x:v>0</x:v>
      </x:c>
      <x:c r="G16" s="43" t="str">
        <x:v>Not suitable</x:v>
      </x:c>
      <x:c r="H16" s="43" t="str">
        <x:v>Reject match</x:v>
      </x:c>
      <x:c r="I16" s="43" t="n">
        <x:v>0</x:v>
      </x:c>
      <x:c r="J16" s="43" t="str">
        <x:v>Closed</x:v>
      </x:c>
      <x:c r="K16" s="43" t="str">
        <x:v>Procurement user</x:v>
      </x:c>
      <x:c r="L16" s="43" t="str">
        <x:v>2026-08-25 10:23 UTC</x:v>
      </x:c>
      <x:c r="M16" s="43" t="str">
        <x:v>2300 Ah/kg and 0.75 fail specification</x:v>
      </x:c>
      <x:c r="N16" s="43" t="str">
        <x:v>Quality QR-0012</x:v>
      </x:c>
    </x:row>
    <x:row r="17">
      <x:c r="A17" s="42" t="str">
        <x:v>MATCH-0013</x:v>
      </x:c>
      <x:c r="B17" s="42" t="str">
        <x:v>REQ-MER-2105</x:v>
      </x:c>
      <x:c r="C17" s="42" t="str">
        <x:v>INV-0013</x:v>
      </x:c>
      <x:c r="D17" s="43" t="str">
        <x:v>Exact dimensions, materials, pressure and installation method</x:v>
      </x:c>
      <x:c r="E17" s="43" t="n">
        <x:v>18</x:v>
      </x:c>
      <x:c r="F17" s="43" t="n">
        <x:v>18</x:v>
      </x:c>
      <x:c r="G17" s="43" t="str">
        <x:v>Available but not ready</x:v>
      </x:c>
      <x:c r="H17" s="43" t="str">
        <x:v>Request validation</x:v>
      </x:c>
      <x:c r="I17" s="43" t="n">
        <x:v>0</x:v>
      </x:c>
      <x:c r="J17" s="43" t="str">
        <x:v>Validation pending</x:v>
      </x:c>
      <x:c r="K17" s="43" t="str">
        <x:v>Subsea Quality Lead</x:v>
      </x:c>
      <x:c r="L17" s="43" t="str">
        <x:v>2026-08-25 10:30 UTC</x:v>
      </x:c>
      <x:c r="M17" s="43" t="str">
        <x:v>Review certificates and preservation records</x:v>
      </x:c>
      <x:c r="N17" s="43" t="str">
        <x:v>Quality QR-0013</x:v>
      </x:c>
    </x:row>
    <x:row r="18">
      <x:c r="A18" s="42" t="str">
        <x:v>MATCH-0014</x:v>
      </x:c>
      <x:c r="B18" s="42" t="str">
        <x:v>REQ-MER-2105</x:v>
      </x:c>
      <x:c r="C18" s="42" t="str">
        <x:v>INV-0014</x:v>
      </x:c>
      <x:c r="D18" s="43" t="str">
        <x:v>Cable interface matches; J-tube ID differs by 25mm</x:v>
      </x:c>
      <x:c r="E18" s="43" t="n">
        <x:v>12</x:v>
      </x:c>
      <x:c r="F18" s="43" t="n">
        <x:v>12</x:v>
      </x:c>
      <x:c r="G18" s="43" t="str">
        <x:v>Potential substitute</x:v>
      </x:c>
      <x:c r="H18" s="43" t="str">
        <x:v>Request validation</x:v>
      </x:c>
      <x:c r="I18" s="43" t="n">
        <x:v>0</x:v>
      </x:c>
      <x:c r="J18" s="43" t="str">
        <x:v>Validation pending</x:v>
      </x:c>
      <x:c r="K18" s="43" t="str">
        <x:v>Subsea Engineering Lead</x:v>
      </x:c>
      <x:c r="L18" s="43" t="str">
        <x:v>2026-08-25 10:31 UTC</x:v>
      </x:c>
      <x:c r="M18" s="43" t="str">
        <x:v>Confirm adaptor and centralizer compatibility</x:v>
      </x:c>
      <x:c r="N18" s="43" t="str">
        <x:v>Quality QR-0014</x:v>
      </x:c>
    </x:row>
    <x:row r="19">
      <x:c r="A19" s="42" t="str">
        <x:v>MATCH-0015</x:v>
      </x:c>
      <x:c r="B19" s="42" t="str">
        <x:v>REQ-MER-2105</x:v>
      </x:c>
      <x:c r="C19" s="42" t="str">
        <x:v>INV-0015</x:v>
      </x:c>
      <x:c r="D19" s="43" t="str">
        <x:v>Exact technical match but allocated to another project</x:v>
      </x:c>
      <x:c r="E19" s="43" t="n">
        <x:v>8</x:v>
      </x:c>
      <x:c r="F19" s="43" t="n">
        <x:v>0</x:v>
      </x:c>
      <x:c r="G19" s="43" t="str">
        <x:v>Available but reserved</x:v>
      </x:c>
      <x:c r="H19" s="43" t="str">
        <x:v>Request validation</x:v>
      </x:c>
      <x:c r="I19" s="43" t="n">
        <x:v>0</x:v>
      </x:c>
      <x:c r="J19" s="43" t="str">
        <x:v>Validation pending</x:v>
      </x:c>
      <x:c r="K19" s="43" t="str">
        <x:v>Skagen Package Manager</x:v>
      </x:c>
      <x:c r="L19" s="43" t="str">
        <x:v>2026-08-25 10:32 UTC</x:v>
      </x:c>
      <x:c r="M19" s="43" t="str">
        <x:v>Confirm project release</x:v>
      </x:c>
      <x:c r="N19" s="43" t="str">
        <x:v>Reservation RES-0004; Quality QR-0015</x:v>
      </x:c>
    </x:row>
    <x:row r="20">
      <x:c r="A20" s="47" t="str">
        <x:v>MATCH-0016</x:v>
      </x:c>
      <x:c r="B20" s="47" t="str">
        <x:v>REQ-MER-2105</x:v>
      </x:c>
      <x:c r="C20" s="47" t="str">
        <x:v>INV-0016</x:v>
      </x:c>
      <x:c r="D20" s="48" t="str">
        <x:v>Seal family match; cable OD and pressure rating fail</x:v>
      </x:c>
      <x:c r="E20" s="48" t="n">
        <x:v>10</x:v>
      </x:c>
      <x:c r="F20" s="48" t="n">
        <x:v>0</x:v>
      </x:c>
      <x:c r="G20" s="48" t="str">
        <x:v>Not suitable</x:v>
      </x:c>
      <x:c r="H20" s="48" t="str">
        <x:v>Reject match</x:v>
      </x:c>
      <x:c r="I20" s="48" t="n">
        <x:v>0</x:v>
      </x:c>
      <x:c r="J20" s="48" t="str">
        <x:v>Closed</x:v>
      </x:c>
      <x:c r="K20" s="48" t="str">
        <x:v>Procurement user</x:v>
      </x:c>
      <x:c r="L20" s="48" t="str">
        <x:v>2026-08-25 10:33 UTC</x:v>
      </x:c>
      <x:c r="M20" s="48" t="str">
        <x:v>190mm OD and 2.5 bar fail requirement</x:v>
      </x:c>
      <x:c r="N20" s="48" t="str">
        <x:v>Quality QR-0016</x:v>
      </x:c>
    </x:row>
  </x:sheetData>
  <x:mergeCells>
    <x:mergeCell ref="A1:N1"/>
    <x:mergeCell ref="A2:N2"/>
  </x:mergeCells>
  <x:dataValidations count="1">
    <x:dataValidation type="list" sqref="H5:H100">
      <x:formula1>"Use inventory,Use partial quantity,Request validation,Retain full procurement quantity,Reject match"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9" hidden="0" customWidth="1"/>
    <x:col min="5" max="5" width="11" hidden="0" customWidth="1"/>
    <x:col min="6" max="6" width="20" hidden="0" customWidth="1"/>
    <x:col min="7" max="7" width="23" hidden="0" customWidth="1"/>
    <x:col min="8" max="8" width="24" hidden="0" customWidth="1"/>
    <x:col min="9" max="9" width="17" hidden="0" customWidth="1"/>
    <x:col min="10" max="10" width="10" hidden="0" customWidth="1"/>
    <x:col min="11" max="11" width="32" hidden="0" customWidth="1"/>
    <x:col min="12" max="12" width="33" hidden="0" customWidth="1"/>
    <x:col min="13" max="13" width="36" hidden="0" customWidth="1"/>
  </x:cols>
  <x:sheetData>
    <x:row r="1" ht="30" customHeight="1">
      <x:c r="A1" s="36" t="str">
        <x:v>Demand Validation Summary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2" ht="28" customHeight="1">
      <x:c r="A2" s="38" t="str">
        <x:v>Formula-driven status for ITT and award controls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</x:row>
    <x:row r="4" ht="32" customHeight="1">
      <x:c r="A4" s="39" t="str">
        <x:v>Requirement ID</x:v>
      </x:c>
      <x:c r="B4" s="40" t="str">
        <x:v>Package</x:v>
      </x:c>
      <x:c r="C4" s="40" t="str">
        <x:v>Requested Qty</x:v>
      </x:c>
      <x:c r="D4" s="40" t="str">
        <x:v>UOM</x:v>
      </x:c>
      <x:c r="E4" s="40" t="str">
        <x:v>Matches</x:v>
      </x:c>
      <x:c r="F4" s="40" t="str">
        <x:v>Unresolved Matches</x:v>
      </x:c>
      <x:c r="G4" s="40" t="str">
        <x:v>Approved Inventory Qty</x:v>
      </x:c>
      <x:c r="H4" s="40" t="str">
        <x:v>Residual Procurement Qty</x:v>
      </x:c>
      <x:c r="I4" s="40" t="str">
        <x:v>Unit Baseline</x:v>
      </x:c>
      <x:c r="J4" s="40" t="str">
        <x:v>Currency</x:v>
      </x:c>
      <x:c r="K4" s="40" t="str">
        <x:v>Identified Purchase-Avoidance Opportunity</x:v>
      </x:c>
      <x:c r="L4" s="40" t="str">
        <x:v>Validation State</x:v>
      </x:c>
      <x:c r="M4" s="41" t="str">
        <x:v>ITT / Award Control</x:v>
      </x:c>
    </x:row>
    <x:row r="5">
      <x:c r="A5" s="42" t="str">
        <x:v>REQ-MER-2101</x:v>
      </x:c>
      <x:c r="B5" s="42" t="str">
        <x:v>MER-SCM-2101</x:v>
      </x:c>
      <x:c r="C5" s="44" t="n">
        <x:v>5000</x:v>
      </x:c>
      <x:c r="D5" s="44" t="str">
        <x:v>m</x:v>
      </x:c>
      <x:c r="E5" s="44" t="n">
        <x:f>COUNTIF('Candidate Matches'!$B$5:$B$20,A5)</x:f>
        <x:v>4</x:v>
      </x:c>
      <x:c r="F5" s="44" t="n">
        <x:f>COUNTIFS('Candidate Matches'!$B$5:$B$20,A5,'Candidate Matches'!$J$5:$J$20,"Validation pending")</x:f>
        <x:v>1</x:v>
      </x:c>
      <x:c r="G5" s="44" t="n">
        <x:f>SUMIF('Candidate Matches'!$B$5:$B$20,A5,'Candidate Matches'!$I$5:$I$20)</x:f>
        <x:v>600</x:v>
      </x:c>
      <x:c r="H5" s="44" t="n">
        <x:f>MAX(0,C5-G5)</x:f>
        <x:v>4400</x:v>
      </x:c>
      <x:c r="I5" s="44" t="n">
        <x:v>560</x:v>
      </x:c>
      <x:c r="J5" s="42" t="str">
        <x:v>EUR</x:v>
      </x:c>
      <x:c r="K5" s="46" t="n">
        <x:f>G5*I5</x:f>
        <x:v>336000</x:v>
      </x:c>
      <x:c r="L5" s="43" t="str">
        <x:f>IF(F5&gt;0,"Validation pending",IF(G5&gt;0,"Validated - procurement reduced","Validated - procurement retained"))</x:f>
        <x:v>Validation pending</x:v>
      </x:c>
      <x:c r="M5" s="43" t="str">
        <x:f>IF(F5&gt;0,"BLOCKED - unresolved candidate",IF(H5&lt;C5,"Proceed with confirmed residual quantity","Proceed with original quantity"))</x:f>
        <x:v>BLOCKED - unresolved candidate</x:v>
      </x:c>
    </x:row>
    <x:row r="6">
      <x:c r="A6" s="42" t="str">
        <x:v>REQ-MER-2102</x:v>
      </x:c>
      <x:c r="B6" s="42" t="str">
        <x:v>MER-SCM-2102</x:v>
      </x:c>
      <x:c r="C6" s="44" t="n">
        <x:v>50</x:v>
      </x:c>
      <x:c r="D6" s="44" t="str">
        <x:v>unit</x:v>
      </x:c>
      <x:c r="E6" s="44" t="n">
        <x:f>COUNTIF('Candidate Matches'!$B$5:$B$20,A6)</x:f>
        <x:v>2</x:v>
      </x:c>
      <x:c r="F6" s="44" t="n">
        <x:f>COUNTIFS('Candidate Matches'!$B$5:$B$20,A6,'Candidate Matches'!$J$5:$J$20,"Validation pending")</x:f>
        <x:v>2</x:v>
      </x:c>
      <x:c r="G6" s="44" t="n">
        <x:f>SUMIF('Candidate Matches'!$B$5:$B$20,A6,'Candidate Matches'!$I$5:$I$20)</x:f>
        <x:v>0</x:v>
      </x:c>
      <x:c r="H6" s="44" t="n">
        <x:f>MAX(0,C6-G6)</x:f>
        <x:v>50</x:v>
      </x:c>
      <x:c r="I6" s="44" t="n">
        <x:v>4750000</x:v>
      </x:c>
      <x:c r="J6" s="42" t="str">
        <x:v>EUR</x:v>
      </x:c>
      <x:c r="K6" s="46" t="n">
        <x:f>G6*I6</x:f>
        <x:v>0</x:v>
      </x:c>
      <x:c r="L6" s="43" t="str">
        <x:f>IF(F6&gt;0,"Validation pending",IF(G6&gt;0,"Validated - procurement reduced","Validated - procurement retained"))</x:f>
        <x:v>Validation pending</x:v>
      </x:c>
      <x:c r="M6" s="43" t="str">
        <x:f>IF(F6&gt;0,"BLOCKED - unresolved candidate",IF(H6&lt;C6,"Proceed with confirmed residual quantity","Proceed with original quantity"))</x:f>
        <x:v>BLOCKED - unresolved candidate</x:v>
      </x:c>
    </x:row>
    <x:row r="7">
      <x:c r="A7" s="42" t="str">
        <x:v>REQ-MER-2103</x:v>
      </x:c>
      <x:c r="B7" s="42" t="str">
        <x:v>MER-SCM-2103</x:v>
      </x:c>
      <x:c r="C7" s="44" t="n">
        <x:v>1</x:v>
      </x:c>
      <x:c r="D7" s="44" t="str">
        <x:v>unit</x:v>
      </x:c>
      <x:c r="E7" s="44" t="n">
        <x:f>COUNTIF('Candidate Matches'!$B$5:$B$20,A7)</x:f>
        <x:v>2</x:v>
      </x:c>
      <x:c r="F7" s="44" t="n">
        <x:f>COUNTIFS('Candidate Matches'!$B$5:$B$20,A7,'Candidate Matches'!$J$5:$J$20,"Validation pending")</x:f>
        <x:v>1</x:v>
      </x:c>
      <x:c r="G7" s="44" t="n">
        <x:f>SUMIF('Candidate Matches'!$B$5:$B$20,A7,'Candidate Matches'!$I$5:$I$20)</x:f>
        <x:v>0</x:v>
      </x:c>
      <x:c r="H7" s="44" t="n">
        <x:f>MAX(0,C7-G7)</x:f>
        <x:v>1</x:v>
      </x:c>
      <x:c r="I7" s="44" t="n">
        <x:v>4200000</x:v>
      </x:c>
      <x:c r="J7" s="42" t="str">
        <x:v>EUR</x:v>
      </x:c>
      <x:c r="K7" s="46" t="n">
        <x:f>G7*I7</x:f>
        <x:v>0</x:v>
      </x:c>
      <x:c r="L7" s="43" t="str">
        <x:f>IF(F7&gt;0,"Validation pending",IF(G7&gt;0,"Validated - procurement reduced","Validated - procurement retained"))</x:f>
        <x:v>Validation pending</x:v>
      </x:c>
      <x:c r="M7" s="43" t="str">
        <x:f>IF(F7&gt;0,"BLOCKED - unresolved candidate",IF(H7&lt;C7,"Proceed with confirmed residual quantity","Proceed with original quantity"))</x:f>
        <x:v>BLOCKED - unresolved candidate</x:v>
      </x:c>
    </x:row>
    <x:row r="8">
      <x:c r="A8" s="42" t="str">
        <x:v>REQ-MER-2104</x:v>
      </x:c>
      <x:c r="B8" s="42" t="str">
        <x:v>MER-SCM-2104</x:v>
      </x:c>
      <x:c r="C8" s="44" t="n">
        <x:v>240</x:v>
      </x:c>
      <x:c r="D8" s="44" t="str">
        <x:v>unit</x:v>
      </x:c>
      <x:c r="E8" s="44" t="n">
        <x:f>COUNTIF('Candidate Matches'!$B$5:$B$20,A8)</x:f>
        <x:v>4</x:v>
      </x:c>
      <x:c r="F8" s="44" t="n">
        <x:f>COUNTIFS('Candidate Matches'!$B$5:$B$20,A8,'Candidate Matches'!$J$5:$J$20,"Validation pending")</x:f>
        <x:v>3</x:v>
      </x:c>
      <x:c r="G8" s="44" t="n">
        <x:f>SUMIF('Candidate Matches'!$B$5:$B$20,A8,'Candidate Matches'!$I$5:$I$20)</x:f>
        <x:v>0</x:v>
      </x:c>
      <x:c r="H8" s="44" t="n">
        <x:f>MAX(0,C8-G8)</x:f>
        <x:v>240</x:v>
      </x:c>
      <x:c r="I8" s="44" t="n">
        <x:v>2100</x:v>
      </x:c>
      <x:c r="J8" s="42" t="str">
        <x:v>EUR</x:v>
      </x:c>
      <x:c r="K8" s="46" t="n">
        <x:f>G8*I8</x:f>
        <x:v>0</x:v>
      </x:c>
      <x:c r="L8" s="43" t="str">
        <x:f>IF(F8&gt;0,"Validation pending",IF(G8&gt;0,"Validated - procurement reduced","Validated - procurement retained"))</x:f>
        <x:v>Validation pending</x:v>
      </x:c>
      <x:c r="M8" s="43" t="str">
        <x:f>IF(F8&gt;0,"BLOCKED - unresolved candidate",IF(H8&lt;C8,"Proceed with confirmed residual quantity","Proceed with original quantity"))</x:f>
        <x:v>BLOCKED - unresolved candidate</x:v>
      </x:c>
    </x:row>
    <x:row r="9">
      <x:c r="A9" s="47" t="str">
        <x:v>REQ-MER-2105</x:v>
      </x:c>
      <x:c r="B9" s="47" t="str">
        <x:v>MER-SCM-2105</x:v>
      </x:c>
      <x:c r="C9" s="49" t="n">
        <x:v>60</x:v>
      </x:c>
      <x:c r="D9" s="49" t="str">
        <x:v>unit</x:v>
      </x:c>
      <x:c r="E9" s="49" t="n">
        <x:f>COUNTIF('Candidate Matches'!$B$5:$B$20,A9)</x:f>
        <x:v>4</x:v>
      </x:c>
      <x:c r="F9" s="49" t="n">
        <x:f>COUNTIFS('Candidate Matches'!$B$5:$B$20,A9,'Candidate Matches'!$J$5:$J$20,"Validation pending")</x:f>
        <x:v>3</x:v>
      </x:c>
      <x:c r="G9" s="49" t="n">
        <x:f>SUMIF('Candidate Matches'!$B$5:$B$20,A9,'Candidate Matches'!$I$5:$I$20)</x:f>
        <x:v>0</x:v>
      </x:c>
      <x:c r="H9" s="49" t="n">
        <x:f>MAX(0,C9-G9)</x:f>
        <x:v>60</x:v>
      </x:c>
      <x:c r="I9" s="49" t="n">
        <x:v>88000</x:v>
      </x:c>
      <x:c r="J9" s="47" t="str">
        <x:v>EUR</x:v>
      </x:c>
      <x:c r="K9" s="51" t="n">
        <x:f>G9*I9</x:f>
        <x:v>0</x:v>
      </x:c>
      <x:c r="L9" s="48" t="str">
        <x:f>IF(F9&gt;0,"Validation pending",IF(G9&gt;0,"Validated - procurement reduced","Validated - procurement retained"))</x:f>
        <x:v>Validation pending</x:v>
      </x:c>
      <x:c r="M9" s="48" t="str">
        <x:f>IF(F9&gt;0,"BLOCKED - unresolved candidate",IF(H9&lt;C9,"Proceed with confirmed residual quantity","Proceed with original quantity"))</x:f>
        <x:v>BLOCKED - unresolved candidate</x:v>
      </x:c>
    </x:row>
  </x:sheetData>
  <x:mergeCells>
    <x:mergeCell ref="A1:M1"/>
    <x:mergeCell ref="A2:M2"/>
  </x:mergeCells>
  <x:conditionalFormatting sqref="L5:M9">
    <x:cfRule type="containsText" dxfId="0" priority="1" operator="containsText" text="BLOCKED"/>
    <x:cfRule type="containsText" dxfId="1" priority="2" operator="containsText" text="pending"/>
    <x:cfRule type="containsText" dxfId="2" priority="3" operator="containsText" text="Proce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5" hidden="0" customWidth="1"/>
    <x:col min="5" max="5" width="62" hidden="0" customWidth="1"/>
    <x:col min="6" max="6" width="29" hidden="0" customWidth="1"/>
    <x:col min="7" max="7" width="15" hidden="0" customWidth="1"/>
    <x:col min="8" max="8" width="14" hidden="0" customWidth="1"/>
    <x:col min="9" max="9" width="20" hidden="0" customWidth="1"/>
    <x:col min="10" max="10" width="48" hidden="0" customWidth="1"/>
    <x:col min="11" max="11" width="38" hidden="0" customWidth="1"/>
  </x:cols>
  <x:sheetData>
    <x:row r="1" ht="30" customHeight="1">
      <x:c r="A1" s="36" t="str">
        <x:v>Action Centre - Procurement Validation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8" customHeight="1">
      <x:c r="A2" s="38" t="str">
        <x:v>Assigned and completable actions created from unresolved inventory candidates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2" customHeight="1">
      <x:c r="A4" s="39" t="str">
        <x:v>Action ID</x:v>
      </x:c>
      <x:c r="B4" s="40" t="str">
        <x:v>Requirement ID</x:v>
      </x:c>
      <x:c r="C4" s="40" t="str">
        <x:v>Match ID</x:v>
      </x:c>
      <x:c r="D4" s="40" t="str">
        <x:v>Action Type</x:v>
      </x:c>
      <x:c r="E4" s="40" t="str">
        <x:v>Question / Required Decision</x:v>
      </x:c>
      <x:c r="F4" s="40" t="str">
        <x:v>Owner</x:v>
      </x:c>
      <x:c r="G4" s="40" t="str">
        <x:v>Due Date</x:v>
      </x:c>
      <x:c r="H4" s="40" t="str">
        <x:v>Status</x:v>
      </x:c>
      <x:c r="I4" s="40" t="str">
        <x:v>Workflow</x:v>
      </x:c>
      <x:c r="J4" s="40" t="str">
        <x:v>Supporting Evidence</x:v>
      </x:c>
      <x:c r="K4" s="41" t="str">
        <x:v>Completion Action</x:v>
      </x:c>
    </x:row>
    <x:row r="5">
      <x:c r="A5" s="42" t="str">
        <x:v>ACT-0001</x:v>
      </x:c>
      <x:c r="B5" s="42" t="str">
        <x:v>REQ-MER-2101</x:v>
      </x:c>
      <x:c r="C5" s="42" t="str">
        <x:v>MATCH-0003</x:v>
      </x:c>
      <x:c r="D5" s="43" t="str">
        <x:v>Potential substitute</x:v>
      </x:c>
      <x:c r="E5" s="43" t="str">
        <x:v>Confirm electrical-loss and termination compatibility</x:v>
      </x:c>
      <x:c r="F5" s="43" t="str">
        <x:v>Cable Engineering Lead</x:v>
      </x:c>
      <x:c r="G5" s="52" t="n">
        <x:v>46262</x:v>
      </x:c>
      <x:c r="H5" s="43" t="str">
        <x:v>Open</x:v>
      </x:c>
      <x:c r="I5" s="43" t="str">
        <x:v>Demand Validation</x:v>
      </x:c>
      <x:c r="J5" s="43" t="str">
        <x:v>Material Master; Quality QR-0003</x:v>
      </x:c>
      <x:c r="K5" s="43" t="str">
        <x:v>Complete validation and record disposition</x:v>
      </x:c>
    </x:row>
    <x:row r="6">
      <x:c r="A6" s="42" t="str">
        <x:v>ACT-0002</x:v>
      </x:c>
      <x:c r="B6" s="42" t="str">
        <x:v>REQ-MER-2102</x:v>
      </x:c>
      <x:c r="C6" s="42" t="str">
        <x:v>MATCH-0005</x:v>
      </x:c>
      <x:c r="D6" s="43" t="str">
        <x:v>Available but not ready</x:v>
      </x:c>
      <x:c r="E6" s="43" t="str">
        <x:v>Complete flange survey by 2027-04-20</x:v>
      </x:c>
      <x:c r="F6" s="43" t="str">
        <x:v>Structural QA Lead</x:v>
      </x:c>
      <x:c r="G6" s="52" t="n">
        <x:v>46263</x:v>
      </x:c>
      <x:c r="H6" s="43" t="str">
        <x:v>Open</x:v>
      </x:c>
      <x:c r="I6" s="43" t="str">
        <x:v>Demand Validation</x:v>
      </x:c>
      <x:c r="J6" s="43" t="str">
        <x:v>Quality QR-0005</x:v>
      </x:c>
      <x:c r="K6" s="43" t="str">
        <x:v>Complete validation and record disposition</x:v>
      </x:c>
    </x:row>
    <x:row r="7">
      <x:c r="A7" s="42" t="str">
        <x:v>ACT-0003</x:v>
      </x:c>
      <x:c r="B7" s="42" t="str">
        <x:v>REQ-MER-2102</x:v>
      </x:c>
      <x:c r="C7" s="42" t="str">
        <x:v>MATCH-0006</x:v>
      </x:c>
      <x:c r="D7" s="43" t="str">
        <x:v>Potential substitute</x:v>
      </x:c>
      <x:c r="E7" s="43" t="str">
        <x:v>Geometry and project-transfer decisions required</x:v>
      </x:c>
      <x:c r="F7" s="43" t="str">
        <x:v>Structural Engineering Lead</x:v>
      </x:c>
      <x:c r="G7" s="52" t="n">
        <x:v>46263</x:v>
      </x:c>
      <x:c r="H7" s="43" t="str">
        <x:v>Open</x:v>
      </x:c>
      <x:c r="I7" s="43" t="str">
        <x:v>Demand Validation</x:v>
      </x:c>
      <x:c r="J7" s="43" t="str">
        <x:v>Reservation RES-0002; Quality QR-0006</x:v>
      </x:c>
      <x:c r="K7" s="43" t="str">
        <x:v>Complete validation and record disposition</x:v>
      </x:c>
    </x:row>
    <x:row r="8">
      <x:c r="A8" s="42" t="str">
        <x:v>ACT-0004</x:v>
      </x:c>
      <x:c r="B8" s="42" t="str">
        <x:v>REQ-MER-2103</x:v>
      </x:c>
      <x:c r="C8" s="42" t="str">
        <x:v>MATCH-0007</x:v>
      </x:c>
      <x:c r="D8" s="43" t="str">
        <x:v>Available but not ready</x:v>
      </x:c>
      <x:c r="E8" s="43" t="str">
        <x:v>Recertification readiness forecast 2026-11-15</x:v>
      </x:c>
      <x:c r="F8" s="43" t="str">
        <x:v>Marine Assurance Lead</x:v>
      </x:c>
      <x:c r="G8" s="52" t="n">
        <x:v>46261</x:v>
      </x:c>
      <x:c r="H8" s="43" t="str">
        <x:v>Open</x:v>
      </x:c>
      <x:c r="I8" s="43" t="str">
        <x:v>Demand Validation</x:v>
      </x:c>
      <x:c r="J8" s="43" t="str">
        <x:v>Quality QR-0007</x:v>
      </x:c>
      <x:c r="K8" s="43" t="str">
        <x:v>Complete validation and record disposition</x:v>
      </x:c>
    </x:row>
    <x:row r="9">
      <x:c r="A9" s="42" t="str">
        <x:v>ACT-0005</x:v>
      </x:c>
      <x:c r="B9" s="42" t="str">
        <x:v>REQ-MER-2104</x:v>
      </x:c>
      <x:c r="C9" s="42" t="str">
        <x:v>MATCH-0009</x:v>
      </x:c>
      <x:c r="D9" s="43" t="str">
        <x:v>Available but not ready</x:v>
      </x:c>
      <x:c r="E9" s="43" t="str">
        <x:v>Obtain signed batch release</x:v>
      </x:c>
      <x:c r="F9" s="43" t="str">
        <x:v>Cathodic Protection QA Lead</x:v>
      </x:c>
      <x:c r="G9" s="52" t="n">
        <x:v>46262</x:v>
      </x:c>
      <x:c r="H9" s="43" t="str">
        <x:v>Open</x:v>
      </x:c>
      <x:c r="I9" s="43" t="str">
        <x:v>Demand Validation</x:v>
      </x:c>
      <x:c r="J9" s="43" t="str">
        <x:v>Quality QR-0009</x:v>
      </x:c>
      <x:c r="K9" s="43" t="str">
        <x:v>Complete validation and record disposition</x:v>
      </x:c>
    </x:row>
    <x:row r="10">
      <x:c r="A10" s="42" t="str">
        <x:v>ACT-0006</x:v>
      </x:c>
      <x:c r="B10" s="42" t="str">
        <x:v>REQ-MER-2104</x:v>
      </x:c>
      <x:c r="C10" s="42" t="str">
        <x:v>MATCH-0010</x:v>
      </x:c>
      <x:c r="D10" s="43" t="str">
        <x:v>Available but reserved</x:v>
      </x:c>
      <x:c r="E10" s="43" t="str">
        <x:v>Confirm whether 40 units can transfer</x:v>
      </x:c>
      <x:c r="F10" s="43" t="str">
        <x:v>Skagen Package Manager</x:v>
      </x:c>
      <x:c r="G10" s="52" t="n">
        <x:v>46262</x:v>
      </x:c>
      <x:c r="H10" s="43" t="str">
        <x:v>Open</x:v>
      </x:c>
      <x:c r="I10" s="43" t="str">
        <x:v>Demand Validation</x:v>
      </x:c>
      <x:c r="J10" s="43" t="str">
        <x:v>Reservation RES-0003; Quality QR-0010</x:v>
      </x:c>
      <x:c r="K10" s="43" t="str">
        <x:v>Complete validation and record disposition</x:v>
      </x:c>
    </x:row>
    <x:row r="11">
      <x:c r="A11" s="42" t="str">
        <x:v>ACT-0007</x:v>
      </x:c>
      <x:c r="B11" s="42" t="str">
        <x:v>REQ-MER-2104</x:v>
      </x:c>
      <x:c r="C11" s="42" t="str">
        <x:v>MATCH-0011</x:v>
      </x:c>
      <x:c r="D11" s="43" t="str">
        <x:v>Potential substitute</x:v>
      </x:c>
      <x:c r="E11" s="43" t="str">
        <x:v>Recalculate CP design life and quantity</x:v>
      </x:c>
      <x:c r="F11" s="43" t="str">
        <x:v>Cathodic Protection Engineer</x:v>
      </x:c>
      <x:c r="G11" s="52" t="n">
        <x:v>46261</x:v>
      </x:c>
      <x:c r="H11" s="43" t="str">
        <x:v>Open</x:v>
      </x:c>
      <x:c r="I11" s="43" t="str">
        <x:v>Demand Validation</x:v>
      </x:c>
      <x:c r="J11" s="43" t="str">
        <x:v>Quality QR-0011</x:v>
      </x:c>
      <x:c r="K11" s="43" t="str">
        <x:v>Complete validation and record disposition</x:v>
      </x:c>
    </x:row>
    <x:row r="12">
      <x:c r="A12" s="42" t="str">
        <x:v>ACT-0008</x:v>
      </x:c>
      <x:c r="B12" s="42" t="str">
        <x:v>REQ-MER-2105</x:v>
      </x:c>
      <x:c r="C12" s="42" t="str">
        <x:v>MATCH-0013</x:v>
      </x:c>
      <x:c r="D12" s="43" t="str">
        <x:v>Available but not ready</x:v>
      </x:c>
      <x:c r="E12" s="43" t="str">
        <x:v>Review certificates and preservation records</x:v>
      </x:c>
      <x:c r="F12" s="43" t="str">
        <x:v>Subsea Quality Lead</x:v>
      </x:c>
      <x:c r="G12" s="52" t="n">
        <x:v>46262</x:v>
      </x:c>
      <x:c r="H12" s="43" t="str">
        <x:v>Open</x:v>
      </x:c>
      <x:c r="I12" s="43" t="str">
        <x:v>Demand Validation</x:v>
      </x:c>
      <x:c r="J12" s="43" t="str">
        <x:v>Quality QR-0013</x:v>
      </x:c>
      <x:c r="K12" s="43" t="str">
        <x:v>Complete validation and record disposition</x:v>
      </x:c>
    </x:row>
    <x:row r="13">
      <x:c r="A13" s="42" t="str">
        <x:v>ACT-0009</x:v>
      </x:c>
      <x:c r="B13" s="42" t="str">
        <x:v>REQ-MER-2105</x:v>
      </x:c>
      <x:c r="C13" s="42" t="str">
        <x:v>MATCH-0014</x:v>
      </x:c>
      <x:c r="D13" s="43" t="str">
        <x:v>Potential substitute</x:v>
      </x:c>
      <x:c r="E13" s="43" t="str">
        <x:v>Confirm adaptor and centralizer compatibility</x:v>
      </x:c>
      <x:c r="F13" s="43" t="str">
        <x:v>Subsea Engineering Lead</x:v>
      </x:c>
      <x:c r="G13" s="52" t="n">
        <x:v>46262</x:v>
      </x:c>
      <x:c r="H13" s="43" t="str">
        <x:v>Open</x:v>
      </x:c>
      <x:c r="I13" s="43" t="str">
        <x:v>Demand Validation</x:v>
      </x:c>
      <x:c r="J13" s="43" t="str">
        <x:v>Quality QR-0014</x:v>
      </x:c>
      <x:c r="K13" s="43" t="str">
        <x:v>Complete validation and record disposition</x:v>
      </x:c>
    </x:row>
    <x:row r="14">
      <x:c r="A14" s="47" t="str">
        <x:v>ACT-0010</x:v>
      </x:c>
      <x:c r="B14" s="47" t="str">
        <x:v>REQ-MER-2105</x:v>
      </x:c>
      <x:c r="C14" s="47" t="str">
        <x:v>MATCH-0015</x:v>
      </x:c>
      <x:c r="D14" s="48" t="str">
        <x:v>Available but reserved</x:v>
      </x:c>
      <x:c r="E14" s="48" t="str">
        <x:v>Confirm project release</x:v>
      </x:c>
      <x:c r="F14" s="48" t="str">
        <x:v>Skagen Package Manager</x:v>
      </x:c>
      <x:c r="G14" s="53" t="n">
        <x:v>46261</x:v>
      </x:c>
      <x:c r="H14" s="48" t="str">
        <x:v>Open</x:v>
      </x:c>
      <x:c r="I14" s="48" t="str">
        <x:v>Demand Validation</x:v>
      </x:c>
      <x:c r="J14" s="48" t="str">
        <x:v>Reservation RES-0004; Quality QR-0015</x:v>
      </x:c>
      <x:c r="K14" s="48" t="str">
        <x:v>Complete validation and record disposition</x:v>
      </x:c>
    </x:row>
  </x:sheetData>
  <x:mergeCells>
    <x:mergeCell ref="A1:K1"/>
    <x:mergeCell ref="A2:K2"/>
  </x:mergeCells>
  <x:dataValidations count="1">
    <x:dataValidation type="list" sqref="H5:H100">
      <x:formula1>"Open,In progress,Completed,Cancelled"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0" hidden="0" customWidth="1"/>
    <x:col min="4" max="4" width="24" hidden="0" customWidth="1"/>
    <x:col min="5" max="5" width="24" hidden="0" customWidth="1"/>
    <x:col min="6" max="6" width="68" hidden="0" customWidth="1"/>
    <x:col min="7" max="7" width="55" hidden="0" customWidth="1"/>
  </x:cols>
  <x:sheetData>
    <x:row r="1" ht="30" customHeight="1">
      <x:c r="A1" s="36" t="str">
        <x:v>Audit Event History</x:v>
      </x:c>
      <x:c r="B1" s="37"/>
      <x:c r="C1" s="37"/>
      <x:c r="D1" s="37"/>
      <x:c r="E1" s="37"/>
      <x:c r="F1" s="37"/>
      <x:c r="G1" s="37"/>
    </x:row>
    <x:row r="2" ht="28" customHeight="1">
      <x:c r="A2" s="38" t="str">
        <x:v>Events preserve prior facts and decisions rather than overwriting them</x:v>
      </x:c>
      <x:c r="B2" s="37"/>
      <x:c r="C2" s="37"/>
      <x:c r="D2" s="37"/>
      <x:c r="E2" s="37"/>
      <x:c r="F2" s="37"/>
      <x:c r="G2" s="37"/>
    </x:row>
    <x:row r="3">
      <x:c r="A3" s="37"/>
      <x:c r="B3" s="37"/>
      <x:c r="C3" s="37"/>
      <x:c r="D3" s="37"/>
      <x:c r="E3" s="37"/>
      <x:c r="F3" s="37"/>
      <x:c r="G3" s="37"/>
    </x:row>
    <x:row r="4" ht="32" customHeight="1">
      <x:c r="A4" s="39" t="str">
        <x:v>Event ID</x:v>
      </x:c>
      <x:c r="B4" s="40" t="str">
        <x:v>Requirement ID</x:v>
      </x:c>
      <x:c r="C4" s="40" t="str">
        <x:v>Event Type</x:v>
      </x:c>
      <x:c r="D4" s="40" t="str">
        <x:v>Actor</x:v>
      </x:c>
      <x:c r="E4" s="40" t="str">
        <x:v>Timestamp</x:v>
      </x:c>
      <x:c r="F4" s="40" t="str">
        <x:v>Event Detail</x:v>
      </x:c>
      <x:c r="G4" s="41" t="str">
        <x:v>Source / Evidence</x:v>
      </x:c>
    </x:row>
    <x:row r="5">
      <x:c r="A5" s="42" t="str">
        <x:v>EVT-0001</x:v>
      </x:c>
      <x:c r="B5" s="42" t="str">
        <x:v>REQ-MER-2101</x:v>
      </x:c>
      <x:c r="C5" s="43" t="str">
        <x:v>Requirement created</x:v>
      </x:c>
      <x:c r="D5" s="43" t="str">
        <x:v>Daniel Hoffmann</x:v>
      </x:c>
      <x:c r="E5" s="43" t="str">
        <x:v>2026-08-25 09:00 UTC</x:v>
      </x:c>
      <x:c r="F5" s="43" t="str">
        <x:v>Requested quantity 5,000m</x:v>
      </x:c>
      <x:c r="G5" s="43" t="str">
        <x:v>Requirement import</x:v>
      </x:c>
    </x:row>
    <x:row r="6">
      <x:c r="A6" s="42" t="str">
        <x:v>EVT-0002</x:v>
      </x:c>
      <x:c r="B6" s="42" t="str">
        <x:v>REQ-MER-2101</x:v>
      </x:c>
      <x:c r="C6" s="43" t="str">
        <x:v>Inventory search completed</x:v>
      </x:c>
      <x:c r="D6" s="43" t="str">
        <x:v>Compass</x:v>
      </x:c>
      <x:c r="E6" s="43" t="str">
        <x:v>2026-08-25 09:00 UTC</x:v>
      </x:c>
      <x:c r="F6" s="43" t="str">
        <x:v>4 candidates returned</x:v>
      </x:c>
      <x:c r="G6" s="43" t="str">
        <x:v>Inventory, material master, reservations, receipts and quality records</x:v>
      </x:c>
    </x:row>
    <x:row r="7">
      <x:c r="A7" s="42" t="str">
        <x:v>EVT-0003</x:v>
      </x:c>
      <x:c r="B7" s="42" t="str">
        <x:v>REQ-MER-2101</x:v>
      </x:c>
      <x:c r="C7" s="43" t="str">
        <x:v>Inventory use approved</x:v>
      </x:c>
      <x:c r="D7" s="43" t="str">
        <x:v>Daniel Hoffmann</x:v>
      </x:c>
      <x:c r="E7" s="43" t="str">
        <x:v>2026-08-25 10:00 UTC</x:v>
      </x:c>
      <x:c r="F7" s="43" t="str">
        <x:v>600m from INV-0001; proposed residual 4,400m</x:v>
      </x:c>
      <x:c r="G7" s="43" t="str">
        <x:v>MATCH-0001</x:v>
      </x:c>
    </x:row>
    <x:row r="8">
      <x:c r="A8" s="42" t="str">
        <x:v>EVT-0004</x:v>
      </x:c>
      <x:c r="B8" s="42" t="str">
        <x:v>REQ-MER-2105</x:v>
      </x:c>
      <x:c r="C8" s="43" t="str">
        <x:v>Requirement created</x:v>
      </x:c>
      <x:c r="D8" s="43" t="str">
        <x:v>Daniel Hoffmann</x:v>
      </x:c>
      <x:c r="E8" s="43" t="str">
        <x:v>2026-08-25 09:04 UTC</x:v>
      </x:c>
      <x:c r="F8" s="43" t="str">
        <x:v>Requested quantity 60 units</x:v>
      </x:c>
      <x:c r="G8" s="43" t="str">
        <x:v>Requirement import</x:v>
      </x:c>
    </x:row>
    <x:row r="9">
      <x:c r="A9" s="42" t="str">
        <x:v>EVT-0005</x:v>
      </x:c>
      <x:c r="B9" s="42" t="str">
        <x:v>REQ-MER-2105</x:v>
      </x:c>
      <x:c r="C9" s="43" t="str">
        <x:v>Inventory search completed</x:v>
      </x:c>
      <x:c r="D9" s="43" t="str">
        <x:v>Compass</x:v>
      </x:c>
      <x:c r="E9" s="43" t="str">
        <x:v>2026-08-25 09:04 UTC</x:v>
      </x:c>
      <x:c r="F9" s="43" t="str">
        <x:v>4 candidates returned</x:v>
      </x:c>
      <x:c r="G9" s="43" t="str">
        <x:v>Inventory, material master, reservations, receipts and quality records</x:v>
      </x:c>
    </x:row>
    <x:row r="10">
      <x:c r="A10" s="47" t="str">
        <x:v>EVT-0006</x:v>
      </x:c>
      <x:c r="B10" s="47" t="str">
        <x:v>REQ-MER-2105</x:v>
      </x:c>
      <x:c r="C10" s="48" t="str">
        <x:v>Quality validation requested</x:v>
      </x:c>
      <x:c r="D10" s="48" t="str">
        <x:v>Daniel Hoffmann</x:v>
      </x:c>
      <x:c r="E10" s="48" t="str">
        <x:v>2026-08-25 10:30 UTC</x:v>
      </x:c>
      <x:c r="F10" s="48" t="str">
        <x:v>18 exact units require certificate and preservation review</x:v>
      </x:c>
      <x:c r="G10" s="48" t="str">
        <x:v>MATCH-0013 / ACT-0007</x:v>
      </x:c>
    </x:row>
  </x:sheetData>
  <x:mergeCells>
    <x:mergeCell ref="A1:G1"/>
    <x:mergeCell ref="A2:G2"/>
  </x:mergeCells>
  <x:pageMargins left="0.7" right="0.7" top="0.75" bottom="0.75" header="0.3" footer="0.3"/>
</x:worksheet>
</file>